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rveys\OneDrive\Desktop\Campaigns\Demo 1 (FoodCo)\"/>
    </mc:Choice>
  </mc:AlternateContent>
  <xr:revisionPtr revIDLastSave="0" documentId="8_{0BD2D986-AA77-4BAD-9CC7-160A3F973C7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aw Campaign Data" sheetId="1" r:id="rId1"/>
    <sheet name="Summary &amp; KPI Tracker" sheetId="2" r:id="rId2"/>
  </sheets>
  <definedNames>
    <definedName name="_xlnm._FilterDatabase" localSheetId="0" hidden="1">'Raw Campaign Data'!$A$1:$O$141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2" l="1"/>
  <c r="K9" i="2" s="1"/>
  <c r="H9" i="2"/>
  <c r="F9" i="2"/>
  <c r="E9" i="2"/>
  <c r="D9" i="2"/>
  <c r="C9" i="2"/>
  <c r="B9" i="2"/>
  <c r="I9" i="2" s="1"/>
  <c r="J8" i="2"/>
  <c r="K8" i="2" s="1"/>
  <c r="H8" i="2"/>
  <c r="F8" i="2"/>
  <c r="E8" i="2"/>
  <c r="D8" i="2"/>
  <c r="C8" i="2"/>
  <c r="B8" i="2"/>
  <c r="G8" i="2" s="1"/>
  <c r="J7" i="2"/>
  <c r="K7" i="2" s="1"/>
  <c r="H7" i="2"/>
  <c r="F7" i="2"/>
  <c r="E7" i="2"/>
  <c r="D7" i="2"/>
  <c r="C7" i="2"/>
  <c r="B7" i="2"/>
  <c r="I7" i="2" s="1"/>
  <c r="J6" i="2"/>
  <c r="K6" i="2" s="1"/>
  <c r="H6" i="2"/>
  <c r="F6" i="2"/>
  <c r="E6" i="2"/>
  <c r="D6" i="2"/>
  <c r="C6" i="2"/>
  <c r="B6" i="2"/>
  <c r="G6" i="2" s="1"/>
  <c r="J5" i="2"/>
  <c r="J10" i="2" s="1"/>
  <c r="H5" i="2"/>
  <c r="H10" i="2" s="1"/>
  <c r="F5" i="2"/>
  <c r="E5" i="2"/>
  <c r="E10" i="2" s="1"/>
  <c r="F10" i="2" s="1"/>
  <c r="C17" i="2" s="1"/>
  <c r="D17" i="2" s="1"/>
  <c r="D5" i="2"/>
  <c r="D10" i="2" s="1"/>
  <c r="C16" i="2" s="1"/>
  <c r="D16" i="2" s="1"/>
  <c r="C5" i="2"/>
  <c r="C10" i="2" s="1"/>
  <c r="C15" i="2" s="1"/>
  <c r="D15" i="2" s="1"/>
  <c r="B5" i="2"/>
  <c r="I5" i="2" s="1"/>
  <c r="O141" i="1"/>
  <c r="M141" i="1"/>
  <c r="K141" i="1"/>
  <c r="I141" i="1"/>
  <c r="O140" i="1"/>
  <c r="M140" i="1"/>
  <c r="K140" i="1"/>
  <c r="I140" i="1"/>
  <c r="O139" i="1"/>
  <c r="M139" i="1"/>
  <c r="K139" i="1"/>
  <c r="I139" i="1"/>
  <c r="O138" i="1"/>
  <c r="M138" i="1"/>
  <c r="K138" i="1"/>
  <c r="I138" i="1"/>
  <c r="O137" i="1"/>
  <c r="M137" i="1"/>
  <c r="K137" i="1"/>
  <c r="I137" i="1"/>
  <c r="O136" i="1"/>
  <c r="M136" i="1"/>
  <c r="K136" i="1"/>
  <c r="I136" i="1"/>
  <c r="O135" i="1"/>
  <c r="M135" i="1"/>
  <c r="K135" i="1"/>
  <c r="I135" i="1"/>
  <c r="O134" i="1"/>
  <c r="M134" i="1"/>
  <c r="K134" i="1"/>
  <c r="I134" i="1"/>
  <c r="O133" i="1"/>
  <c r="M133" i="1"/>
  <c r="K133" i="1"/>
  <c r="I133" i="1"/>
  <c r="O132" i="1"/>
  <c r="M132" i="1"/>
  <c r="K132" i="1"/>
  <c r="I132" i="1"/>
  <c r="O131" i="1"/>
  <c r="M131" i="1"/>
  <c r="K131" i="1"/>
  <c r="I131" i="1"/>
  <c r="O130" i="1"/>
  <c r="M130" i="1"/>
  <c r="K130" i="1"/>
  <c r="I130" i="1"/>
  <c r="O129" i="1"/>
  <c r="M129" i="1"/>
  <c r="K129" i="1"/>
  <c r="I129" i="1"/>
  <c r="O128" i="1"/>
  <c r="M128" i="1"/>
  <c r="K128" i="1"/>
  <c r="I128" i="1"/>
  <c r="O127" i="1"/>
  <c r="M127" i="1"/>
  <c r="K127" i="1"/>
  <c r="I127" i="1"/>
  <c r="O126" i="1"/>
  <c r="M126" i="1"/>
  <c r="K126" i="1"/>
  <c r="I126" i="1"/>
  <c r="O125" i="1"/>
  <c r="M125" i="1"/>
  <c r="K125" i="1"/>
  <c r="I125" i="1"/>
  <c r="O124" i="1"/>
  <c r="M124" i="1"/>
  <c r="K124" i="1"/>
  <c r="I124" i="1"/>
  <c r="O123" i="1"/>
  <c r="M123" i="1"/>
  <c r="K123" i="1"/>
  <c r="I123" i="1"/>
  <c r="O122" i="1"/>
  <c r="M122" i="1"/>
  <c r="K122" i="1"/>
  <c r="I122" i="1"/>
  <c r="O121" i="1"/>
  <c r="M121" i="1"/>
  <c r="K121" i="1"/>
  <c r="I121" i="1"/>
  <c r="O120" i="1"/>
  <c r="M120" i="1"/>
  <c r="K120" i="1"/>
  <c r="I120" i="1"/>
  <c r="O119" i="1"/>
  <c r="M119" i="1"/>
  <c r="K119" i="1"/>
  <c r="I119" i="1"/>
  <c r="O118" i="1"/>
  <c r="M118" i="1"/>
  <c r="K118" i="1"/>
  <c r="I118" i="1"/>
  <c r="O117" i="1"/>
  <c r="M117" i="1"/>
  <c r="K117" i="1"/>
  <c r="I117" i="1"/>
  <c r="O116" i="1"/>
  <c r="M116" i="1"/>
  <c r="K116" i="1"/>
  <c r="I116" i="1"/>
  <c r="O115" i="1"/>
  <c r="M115" i="1"/>
  <c r="K115" i="1"/>
  <c r="I115" i="1"/>
  <c r="O114" i="1"/>
  <c r="M114" i="1"/>
  <c r="K114" i="1"/>
  <c r="I114" i="1"/>
  <c r="O113" i="1"/>
  <c r="M113" i="1"/>
  <c r="K113" i="1"/>
  <c r="I113" i="1"/>
  <c r="O112" i="1"/>
  <c r="M112" i="1"/>
  <c r="K112" i="1"/>
  <c r="I112" i="1"/>
  <c r="O111" i="1"/>
  <c r="M111" i="1"/>
  <c r="K111" i="1"/>
  <c r="I111" i="1"/>
  <c r="O110" i="1"/>
  <c r="M110" i="1"/>
  <c r="K110" i="1"/>
  <c r="I110" i="1"/>
  <c r="O109" i="1"/>
  <c r="M109" i="1"/>
  <c r="K109" i="1"/>
  <c r="I109" i="1"/>
  <c r="O108" i="1"/>
  <c r="M108" i="1"/>
  <c r="K108" i="1"/>
  <c r="I108" i="1"/>
  <c r="O107" i="1"/>
  <c r="M107" i="1"/>
  <c r="K107" i="1"/>
  <c r="I107" i="1"/>
  <c r="O106" i="1"/>
  <c r="M106" i="1"/>
  <c r="K106" i="1"/>
  <c r="I106" i="1"/>
  <c r="O105" i="1"/>
  <c r="M105" i="1"/>
  <c r="K105" i="1"/>
  <c r="I105" i="1"/>
  <c r="O104" i="1"/>
  <c r="M104" i="1"/>
  <c r="K104" i="1"/>
  <c r="I104" i="1"/>
  <c r="O103" i="1"/>
  <c r="M103" i="1"/>
  <c r="K103" i="1"/>
  <c r="I103" i="1"/>
  <c r="O102" i="1"/>
  <c r="M102" i="1"/>
  <c r="K102" i="1"/>
  <c r="I102" i="1"/>
  <c r="O101" i="1"/>
  <c r="M101" i="1"/>
  <c r="K101" i="1"/>
  <c r="I101" i="1"/>
  <c r="O100" i="1"/>
  <c r="M100" i="1"/>
  <c r="K100" i="1"/>
  <c r="I100" i="1"/>
  <c r="O99" i="1"/>
  <c r="M99" i="1"/>
  <c r="K99" i="1"/>
  <c r="I99" i="1"/>
  <c r="O98" i="1"/>
  <c r="M98" i="1"/>
  <c r="K98" i="1"/>
  <c r="I98" i="1"/>
  <c r="O97" i="1"/>
  <c r="M97" i="1"/>
  <c r="K97" i="1"/>
  <c r="I97" i="1"/>
  <c r="O96" i="1"/>
  <c r="M96" i="1"/>
  <c r="K96" i="1"/>
  <c r="I96" i="1"/>
  <c r="O95" i="1"/>
  <c r="M95" i="1"/>
  <c r="K95" i="1"/>
  <c r="I95" i="1"/>
  <c r="O94" i="1"/>
  <c r="M94" i="1"/>
  <c r="K94" i="1"/>
  <c r="I94" i="1"/>
  <c r="O93" i="1"/>
  <c r="M93" i="1"/>
  <c r="K93" i="1"/>
  <c r="I93" i="1"/>
  <c r="O92" i="1"/>
  <c r="M92" i="1"/>
  <c r="K92" i="1"/>
  <c r="I92" i="1"/>
  <c r="O91" i="1"/>
  <c r="M91" i="1"/>
  <c r="K91" i="1"/>
  <c r="I91" i="1"/>
  <c r="O90" i="1"/>
  <c r="M90" i="1"/>
  <c r="K90" i="1"/>
  <c r="I90" i="1"/>
  <c r="O89" i="1"/>
  <c r="M89" i="1"/>
  <c r="K89" i="1"/>
  <c r="I89" i="1"/>
  <c r="O88" i="1"/>
  <c r="M88" i="1"/>
  <c r="K88" i="1"/>
  <c r="I88" i="1"/>
  <c r="O87" i="1"/>
  <c r="M87" i="1"/>
  <c r="K87" i="1"/>
  <c r="I87" i="1"/>
  <c r="O86" i="1"/>
  <c r="M86" i="1"/>
  <c r="K86" i="1"/>
  <c r="I86" i="1"/>
  <c r="O85" i="1"/>
  <c r="M85" i="1"/>
  <c r="K85" i="1"/>
  <c r="I85" i="1"/>
  <c r="O84" i="1"/>
  <c r="M84" i="1"/>
  <c r="K84" i="1"/>
  <c r="I84" i="1"/>
  <c r="O83" i="1"/>
  <c r="M83" i="1"/>
  <c r="K83" i="1"/>
  <c r="I83" i="1"/>
  <c r="O82" i="1"/>
  <c r="M82" i="1"/>
  <c r="K82" i="1"/>
  <c r="I82" i="1"/>
  <c r="O81" i="1"/>
  <c r="M81" i="1"/>
  <c r="K81" i="1"/>
  <c r="I81" i="1"/>
  <c r="O80" i="1"/>
  <c r="M80" i="1"/>
  <c r="K80" i="1"/>
  <c r="I80" i="1"/>
  <c r="O79" i="1"/>
  <c r="M79" i="1"/>
  <c r="K79" i="1"/>
  <c r="I79" i="1"/>
  <c r="O78" i="1"/>
  <c r="M78" i="1"/>
  <c r="K78" i="1"/>
  <c r="I78" i="1"/>
  <c r="O77" i="1"/>
  <c r="M77" i="1"/>
  <c r="K77" i="1"/>
  <c r="I77" i="1"/>
  <c r="O76" i="1"/>
  <c r="M76" i="1"/>
  <c r="K76" i="1"/>
  <c r="I76" i="1"/>
  <c r="O75" i="1"/>
  <c r="M75" i="1"/>
  <c r="K75" i="1"/>
  <c r="I75" i="1"/>
  <c r="O74" i="1"/>
  <c r="M74" i="1"/>
  <c r="K74" i="1"/>
  <c r="I74" i="1"/>
  <c r="O73" i="1"/>
  <c r="M73" i="1"/>
  <c r="K73" i="1"/>
  <c r="I73" i="1"/>
  <c r="O72" i="1"/>
  <c r="M72" i="1"/>
  <c r="K72" i="1"/>
  <c r="I72" i="1"/>
  <c r="O71" i="1"/>
  <c r="M71" i="1"/>
  <c r="K71" i="1"/>
  <c r="I71" i="1"/>
  <c r="O70" i="1"/>
  <c r="M70" i="1"/>
  <c r="K70" i="1"/>
  <c r="I70" i="1"/>
  <c r="O69" i="1"/>
  <c r="M69" i="1"/>
  <c r="K69" i="1"/>
  <c r="I69" i="1"/>
  <c r="O68" i="1"/>
  <c r="M68" i="1"/>
  <c r="K68" i="1"/>
  <c r="I68" i="1"/>
  <c r="O67" i="1"/>
  <c r="M67" i="1"/>
  <c r="K67" i="1"/>
  <c r="I67" i="1"/>
  <c r="O66" i="1"/>
  <c r="M66" i="1"/>
  <c r="K66" i="1"/>
  <c r="I66" i="1"/>
  <c r="O65" i="1"/>
  <c r="M65" i="1"/>
  <c r="K65" i="1"/>
  <c r="I65" i="1"/>
  <c r="O64" i="1"/>
  <c r="M64" i="1"/>
  <c r="K64" i="1"/>
  <c r="I64" i="1"/>
  <c r="O63" i="1"/>
  <c r="M63" i="1"/>
  <c r="K63" i="1"/>
  <c r="I63" i="1"/>
  <c r="O62" i="1"/>
  <c r="M62" i="1"/>
  <c r="K62" i="1"/>
  <c r="I62" i="1"/>
  <c r="O61" i="1"/>
  <c r="M61" i="1"/>
  <c r="K61" i="1"/>
  <c r="I61" i="1"/>
  <c r="O60" i="1"/>
  <c r="M60" i="1"/>
  <c r="K60" i="1"/>
  <c r="I60" i="1"/>
  <c r="O59" i="1"/>
  <c r="M59" i="1"/>
  <c r="K59" i="1"/>
  <c r="I59" i="1"/>
  <c r="O58" i="1"/>
  <c r="M58" i="1"/>
  <c r="K58" i="1"/>
  <c r="I58" i="1"/>
  <c r="O57" i="1"/>
  <c r="M57" i="1"/>
  <c r="K57" i="1"/>
  <c r="I57" i="1"/>
  <c r="O56" i="1"/>
  <c r="M56" i="1"/>
  <c r="K56" i="1"/>
  <c r="I56" i="1"/>
  <c r="O55" i="1"/>
  <c r="M55" i="1"/>
  <c r="K55" i="1"/>
  <c r="I55" i="1"/>
  <c r="O54" i="1"/>
  <c r="M54" i="1"/>
  <c r="K54" i="1"/>
  <c r="I54" i="1"/>
  <c r="O53" i="1"/>
  <c r="M53" i="1"/>
  <c r="K53" i="1"/>
  <c r="I53" i="1"/>
  <c r="O52" i="1"/>
  <c r="M52" i="1"/>
  <c r="K52" i="1"/>
  <c r="I52" i="1"/>
  <c r="O51" i="1"/>
  <c r="M51" i="1"/>
  <c r="K51" i="1"/>
  <c r="I51" i="1"/>
  <c r="O50" i="1"/>
  <c r="M50" i="1"/>
  <c r="K50" i="1"/>
  <c r="I50" i="1"/>
  <c r="O49" i="1"/>
  <c r="M49" i="1"/>
  <c r="K49" i="1"/>
  <c r="I49" i="1"/>
  <c r="O48" i="1"/>
  <c r="M48" i="1"/>
  <c r="K48" i="1"/>
  <c r="I48" i="1"/>
  <c r="O47" i="1"/>
  <c r="M47" i="1"/>
  <c r="K47" i="1"/>
  <c r="I47" i="1"/>
  <c r="O46" i="1"/>
  <c r="M46" i="1"/>
  <c r="K46" i="1"/>
  <c r="I46" i="1"/>
  <c r="O45" i="1"/>
  <c r="M45" i="1"/>
  <c r="K45" i="1"/>
  <c r="I45" i="1"/>
  <c r="O44" i="1"/>
  <c r="M44" i="1"/>
  <c r="K44" i="1"/>
  <c r="I44" i="1"/>
  <c r="O43" i="1"/>
  <c r="M43" i="1"/>
  <c r="K43" i="1"/>
  <c r="I43" i="1"/>
  <c r="O42" i="1"/>
  <c r="M42" i="1"/>
  <c r="K42" i="1"/>
  <c r="I42" i="1"/>
  <c r="O41" i="1"/>
  <c r="M41" i="1"/>
  <c r="K41" i="1"/>
  <c r="I41" i="1"/>
  <c r="O40" i="1"/>
  <c r="M40" i="1"/>
  <c r="K40" i="1"/>
  <c r="I40" i="1"/>
  <c r="O39" i="1"/>
  <c r="M39" i="1"/>
  <c r="K39" i="1"/>
  <c r="I39" i="1"/>
  <c r="O38" i="1"/>
  <c r="M38" i="1"/>
  <c r="K38" i="1"/>
  <c r="I38" i="1"/>
  <c r="O37" i="1"/>
  <c r="M37" i="1"/>
  <c r="K37" i="1"/>
  <c r="I37" i="1"/>
  <c r="O36" i="1"/>
  <c r="M36" i="1"/>
  <c r="K36" i="1"/>
  <c r="I36" i="1"/>
  <c r="O35" i="1"/>
  <c r="M35" i="1"/>
  <c r="K35" i="1"/>
  <c r="I35" i="1"/>
  <c r="O34" i="1"/>
  <c r="M34" i="1"/>
  <c r="K34" i="1"/>
  <c r="I34" i="1"/>
  <c r="O33" i="1"/>
  <c r="M33" i="1"/>
  <c r="K33" i="1"/>
  <c r="I33" i="1"/>
  <c r="O32" i="1"/>
  <c r="M32" i="1"/>
  <c r="K32" i="1"/>
  <c r="I32" i="1"/>
  <c r="O31" i="1"/>
  <c r="M31" i="1"/>
  <c r="K31" i="1"/>
  <c r="I31" i="1"/>
  <c r="O30" i="1"/>
  <c r="M30" i="1"/>
  <c r="K30" i="1"/>
  <c r="I30" i="1"/>
  <c r="O29" i="1"/>
  <c r="M29" i="1"/>
  <c r="K29" i="1"/>
  <c r="I29" i="1"/>
  <c r="O28" i="1"/>
  <c r="M28" i="1"/>
  <c r="K28" i="1"/>
  <c r="I28" i="1"/>
  <c r="O27" i="1"/>
  <c r="M27" i="1"/>
  <c r="K27" i="1"/>
  <c r="I27" i="1"/>
  <c r="O26" i="1"/>
  <c r="M26" i="1"/>
  <c r="K26" i="1"/>
  <c r="I26" i="1"/>
  <c r="O25" i="1"/>
  <c r="M25" i="1"/>
  <c r="K25" i="1"/>
  <c r="I25" i="1"/>
  <c r="O24" i="1"/>
  <c r="M24" i="1"/>
  <c r="K24" i="1"/>
  <c r="I24" i="1"/>
  <c r="O23" i="1"/>
  <c r="M23" i="1"/>
  <c r="K23" i="1"/>
  <c r="I23" i="1"/>
  <c r="O22" i="1"/>
  <c r="M22" i="1"/>
  <c r="K22" i="1"/>
  <c r="I22" i="1"/>
  <c r="O21" i="1"/>
  <c r="M21" i="1"/>
  <c r="K21" i="1"/>
  <c r="I21" i="1"/>
  <c r="O20" i="1"/>
  <c r="M20" i="1"/>
  <c r="K20" i="1"/>
  <c r="I20" i="1"/>
  <c r="O19" i="1"/>
  <c r="M19" i="1"/>
  <c r="K19" i="1"/>
  <c r="I19" i="1"/>
  <c r="O18" i="1"/>
  <c r="M18" i="1"/>
  <c r="K18" i="1"/>
  <c r="I18" i="1"/>
  <c r="O17" i="1"/>
  <c r="M17" i="1"/>
  <c r="K17" i="1"/>
  <c r="I17" i="1"/>
  <c r="O16" i="1"/>
  <c r="M16" i="1"/>
  <c r="K16" i="1"/>
  <c r="I16" i="1"/>
  <c r="O15" i="1"/>
  <c r="M15" i="1"/>
  <c r="K15" i="1"/>
  <c r="I15" i="1"/>
  <c r="O14" i="1"/>
  <c r="M14" i="1"/>
  <c r="K14" i="1"/>
  <c r="I14" i="1"/>
  <c r="O13" i="1"/>
  <c r="M13" i="1"/>
  <c r="K13" i="1"/>
  <c r="I13" i="1"/>
  <c r="O12" i="1"/>
  <c r="M12" i="1"/>
  <c r="K12" i="1"/>
  <c r="I12" i="1"/>
  <c r="O11" i="1"/>
  <c r="M11" i="1"/>
  <c r="K11" i="1"/>
  <c r="I11" i="1"/>
  <c r="O10" i="1"/>
  <c r="M10" i="1"/>
  <c r="K10" i="1"/>
  <c r="I10" i="1"/>
  <c r="O9" i="1"/>
  <c r="M9" i="1"/>
  <c r="K9" i="1"/>
  <c r="I9" i="1"/>
  <c r="O8" i="1"/>
  <c r="M8" i="1"/>
  <c r="K8" i="1"/>
  <c r="I8" i="1"/>
  <c r="O7" i="1"/>
  <c r="M7" i="1"/>
  <c r="K7" i="1"/>
  <c r="I7" i="1"/>
  <c r="O6" i="1"/>
  <c r="M6" i="1"/>
  <c r="K6" i="1"/>
  <c r="I6" i="1"/>
  <c r="O5" i="1"/>
  <c r="M5" i="1"/>
  <c r="K5" i="1"/>
  <c r="I5" i="1"/>
  <c r="O4" i="1"/>
  <c r="M4" i="1"/>
  <c r="K4" i="1"/>
  <c r="I4" i="1"/>
  <c r="O3" i="1"/>
  <c r="M3" i="1"/>
  <c r="K3" i="1"/>
  <c r="I3" i="1"/>
  <c r="O2" i="1"/>
  <c r="M2" i="1"/>
  <c r="K2" i="1"/>
  <c r="I2" i="1"/>
  <c r="G5" i="2" l="1"/>
  <c r="K5" i="2"/>
  <c r="I6" i="2"/>
  <c r="G7" i="2"/>
  <c r="I8" i="2"/>
  <c r="G9" i="2"/>
  <c r="B10" i="2"/>
  <c r="G10" i="2" l="1"/>
  <c r="C18" i="2" s="1"/>
  <c r="D18" i="2" s="1"/>
  <c r="I10" i="2"/>
  <c r="C19" i="2" s="1"/>
  <c r="D19" i="2" s="1"/>
  <c r="K10" i="2"/>
  <c r="C20" i="2" s="1"/>
  <c r="D20" i="2" s="1"/>
</calcChain>
</file>

<file path=xl/sharedStrings.xml><?xml version="1.0" encoding="utf-8"?>
<sst xmlns="http://schemas.openxmlformats.org/spreadsheetml/2006/main" count="611" uniqueCount="88">
  <si>
    <t>Date</t>
  </si>
  <si>
    <t>Week</t>
  </si>
  <si>
    <t>Phase</t>
  </si>
  <si>
    <t>Channel</t>
  </si>
  <si>
    <t>Campaign/Post Name</t>
  </si>
  <si>
    <t>Impressions</t>
  </si>
  <si>
    <t>Reach</t>
  </si>
  <si>
    <t>Clicks</t>
  </si>
  <si>
    <t>CTR (%)</t>
  </si>
  <si>
    <t>Spend (NGN)</t>
  </si>
  <si>
    <t>CPC (NGN)</t>
  </si>
  <si>
    <t>Conversions</t>
  </si>
  <si>
    <t>CPA (NGN)</t>
  </si>
  <si>
    <t>Revenue (NGN)</t>
  </si>
  <si>
    <t>ROAS</t>
  </si>
  <si>
    <t>2026-08-03</t>
  </si>
  <si>
    <t>Learning</t>
  </si>
  <si>
    <t>Meta Ads</t>
  </si>
  <si>
    <t>TSI_Meta_Wk1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</si>
  <si>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</si>
  <si>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</si>
  <si>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</si>
  <si>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</si>
  <si>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</si>
  <si>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</si>
  <si>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</si>
  <si>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TSI_Meta_Wk2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</si>
  <si>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</si>
  <si>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</si>
  <si>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</si>
  <si>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</si>
  <si>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</si>
  <si>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</si>
  <si>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</si>
  <si>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Optimization</t>
  </si>
  <si>
    <t>TSI_Meta_Wk3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</si>
  <si>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</si>
  <si>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</si>
  <si>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</si>
  <si>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</si>
  <si>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</si>
  <si>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</si>
  <si>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</si>
  <si>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Strong Close</t>
  </si>
  <si>
    <t>TSI_Meta_Wk4</t>
  </si>
  <si>
    <t>2026-08-25</t>
  </si>
  <si>
    <t>2026-08-26</t>
  </si>
  <si>
    <t>2026-08-27</t>
  </si>
  <si>
    <t>2026-08-28</t>
  </si>
  <si>
    <t>2026-08-29</t>
  </si>
  <si>
    <t>2026-08-30</t>
  </si>
  <si>
    <t>Google Search</t>
  </si>
  <si>
    <t>TSI_GoogleSearch_Wk1</t>
  </si>
  <si>
    <t>TSI_GoogleSearch_Wk2</t>
  </si>
  <si>
    <t>TSI_GoogleSearch_Wk3</t>
  </si>
  <si>
    <t>TSI_GoogleSearch_Wk4</t>
  </si>
  <si>
    <t>Google Display</t>
  </si>
  <si>
    <t>TSI_GoogleDisplay_Wk1</t>
  </si>
  <si>
    <t>TSI_GoogleDisplay_Wk2</t>
  </si>
  <si>
    <t>TSI_GoogleDisplay_Wk3</t>
  </si>
  <si>
    <t>TSI_GoogleDisplay_Wk4</t>
  </si>
  <si>
    <t>Influencer - Creator A</t>
  </si>
  <si>
    <t>TSI_Influencer_CreatorA_Wk1</t>
  </si>
  <si>
    <t>TSI_Influencer_CreatorA_Wk2</t>
  </si>
  <si>
    <t>TSI_Influencer_CreatorA_Wk3</t>
  </si>
  <si>
    <t>TSI_Influencer_CreatorA_Wk4</t>
  </si>
  <si>
    <t>Influencer - Creator B</t>
  </si>
  <si>
    <t>TSI_Influencer_CreatorB_Wk1</t>
  </si>
  <si>
    <t>TSI_Influencer_CreatorB_Wk2</t>
  </si>
  <si>
    <t>TSI_Influencer_CreatorB_Wk3</t>
  </si>
  <si>
    <t>TSI_Influencer_CreatorB_Wk4</t>
  </si>
  <si>
    <t>FoodCo Nigeria — "The Secret Ingredient" — Campaign Summary</t>
  </si>
  <si>
    <t>Source: Raw Campaign Data sheet (SUMIFS by channel)</t>
  </si>
  <si>
    <t>TOTAL / CAMPAIGN AVG</t>
  </si>
  <si>
    <t>KPI Targets vs. Actual</t>
  </si>
  <si>
    <t>KPI</t>
  </si>
  <si>
    <t>Target</t>
  </si>
  <si>
    <t>Actual</t>
  </si>
  <si>
    <t>Status</t>
  </si>
  <si>
    <t>2,000,000</t>
  </si>
  <si>
    <t>800,000</t>
  </si>
  <si>
    <t>CTR</t>
  </si>
  <si>
    <t>2.5%</t>
  </si>
  <si>
    <t>CPC</t>
  </si>
  <si>
    <t>NGN 45 max</t>
  </si>
  <si>
    <t>CPA</t>
  </si>
  <si>
    <t>NGN 800 max</t>
  </si>
  <si>
    <t>3.5x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</si>
</sst>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NGN &quot;#,##0"/>
    <numFmt numFmtId="166" formatCode="&quot;NGN &quot;#,##0.00"/>
    <numFmt numFmtId="167" formatCode="0.00\x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9A24B"/>
        <bgColor rgb="FFFF99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10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167" fontId="2" fillId="3" borderId="1" xfId="0" applyNumberFormat="1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165" fontId="6" fillId="4" borderId="1" xfId="0" applyNumberFormat="1" applyFont="1" applyFill="1" applyBorder="1"/>
    <xf numFmtId="3" fontId="6" fillId="4" borderId="1" xfId="0" applyNumberFormat="1" applyFont="1" applyFill="1" applyBorder="1"/>
    <xf numFmtId="10" fontId="6" fillId="4" borderId="1" xfId="0" applyNumberFormat="1" applyFont="1" applyFill="1" applyBorder="1"/>
    <xf numFmtId="166" fontId="6" fillId="4" borderId="1" xfId="0" applyNumberFormat="1" applyFont="1" applyFill="1" applyBorder="1"/>
    <xf numFmtId="167" fontId="6" fillId="4" borderId="1" xfId="0" applyNumberFormat="1" applyFont="1" applyFill="1" applyBorder="1"/>
    <xf numFmtId="0" fontId="7" fillId="0" borderId="0" xfId="0" applyFont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24B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topLeftCell="B1" zoomScaleNormal="100" workbookViewId="0">
      <pane ySplit="1" topLeftCell="A2" activePane="bottomLeft" state="frozen"/>
      <selection pane="bottomLeft" activeCell="O2" sqref="O2"/>
    </sheetView>
  </sheetViews>
  <sheetFormatPr defaultColWidth="8.7109375" defaultRowHeight="15" x14ac:dyDescent="0.25"/>
  <cols>
    <col min="1" max="1" width="12" customWidth="1"/>
    <col min="2" max="2" width="6" customWidth="1"/>
    <col min="3" max="3" width="12" customWidth="1"/>
    <col min="4" max="4" width="22" customWidth="1"/>
    <col min="5" max="5" width="26" customWidth="1"/>
    <col min="6" max="6" width="12" customWidth="1"/>
    <col min="7" max="7" width="11" customWidth="1"/>
    <col min="8" max="9" width="9" customWidth="1"/>
    <col min="10" max="10" width="13" customWidth="1"/>
    <col min="11" max="11" width="11" customWidth="1"/>
    <col min="12" max="12" width="12" customWidth="1"/>
    <col min="13" max="13" width="12.7109375" bestFit="1" customWidth="1"/>
    <col min="14" max="14" width="14" customWidth="1"/>
    <col min="15" max="15" width="8" customWidth="1"/>
  </cols>
  <sheetData>
    <row r="1" spans="1:15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4" t="s">
        <v>15</v>
      </c>
      <c r="B2" s="5">
        <v>1</v>
      </c>
      <c r="C2" s="5" t="s">
        <v>16</v>
      </c>
      <c r="D2" s="5" t="s">
        <v>17</v>
      </c>
      <c r="E2" s="5" t="s">
        <v>18</v>
      </c>
      <c r="F2" s="6">
        <v>37149</v>
      </c>
      <c r="G2" s="6">
        <v>16807</v>
      </c>
      <c r="H2" s="6">
        <v>1295</v>
      </c>
      <c r="I2" s="7">
        <f t="shared" ref="I2:I33" si="0">IFERROR(H2/F2,0)</f>
        <v>3.4859619370642546E-2</v>
      </c>
      <c r="J2" s="8">
        <v>74518.399999999994</v>
      </c>
      <c r="K2" s="9">
        <f t="shared" ref="K2:K33" si="1">IFERROR(J2/H2,0)</f>
        <v>57.543166023166016</v>
      </c>
      <c r="L2" s="6">
        <v>58</v>
      </c>
      <c r="M2" s="9">
        <f t="shared" ref="M2:M33" si="2">IFERROR(J2/L2,0)</f>
        <v>1284.8</v>
      </c>
      <c r="N2" s="8">
        <v>150880.76</v>
      </c>
      <c r="O2" s="10">
        <f t="shared" ref="O2:O33" si="3">IFERROR(N2/J2,0)</f>
        <v>2.0247450294155542</v>
      </c>
    </row>
    <row r="3" spans="1:15" x14ac:dyDescent="0.25">
      <c r="A3" s="11" t="s">
        <v>19</v>
      </c>
      <c r="B3" s="12">
        <v>1</v>
      </c>
      <c r="C3" s="12" t="s">
        <v>16</v>
      </c>
      <c r="D3" s="12" t="s">
        <v>17</v>
      </c>
      <c r="E3" s="12" t="s">
        <v>18</v>
      </c>
      <c r="F3" s="13">
        <v>30384</v>
      </c>
      <c r="G3" s="13">
        <v>13561</v>
      </c>
      <c r="H3" s="13">
        <v>1204</v>
      </c>
      <c r="I3" s="14">
        <f t="shared" si="0"/>
        <v>3.9626119010005269E-2</v>
      </c>
      <c r="J3" s="15">
        <v>61334.27</v>
      </c>
      <c r="K3" s="16">
        <f t="shared" si="1"/>
        <v>50.942084717607969</v>
      </c>
      <c r="L3" s="13">
        <v>58</v>
      </c>
      <c r="M3" s="16">
        <f t="shared" si="2"/>
        <v>1057.4874137931033</v>
      </c>
      <c r="N3" s="15">
        <v>146584.24</v>
      </c>
      <c r="O3" s="17">
        <f t="shared" si="3"/>
        <v>2.3899239364877092</v>
      </c>
    </row>
    <row r="4" spans="1:15" x14ac:dyDescent="0.25">
      <c r="A4" s="4" t="s">
        <v>20</v>
      </c>
      <c r="B4" s="5">
        <v>1</v>
      </c>
      <c r="C4" s="5" t="s">
        <v>16</v>
      </c>
      <c r="D4" s="5" t="s">
        <v>17</v>
      </c>
      <c r="E4" s="5" t="s">
        <v>18</v>
      </c>
      <c r="F4" s="6">
        <v>34993</v>
      </c>
      <c r="G4" s="6">
        <v>16201</v>
      </c>
      <c r="H4" s="6">
        <v>1214</v>
      </c>
      <c r="I4" s="7">
        <f t="shared" si="0"/>
        <v>3.4692652816277543E-2</v>
      </c>
      <c r="J4" s="8">
        <v>66699.16</v>
      </c>
      <c r="K4" s="9">
        <f t="shared" si="1"/>
        <v>54.941647446457992</v>
      </c>
      <c r="L4" s="6">
        <v>62</v>
      </c>
      <c r="M4" s="9">
        <f t="shared" si="2"/>
        <v>1075.7929032258064</v>
      </c>
      <c r="N4" s="8">
        <v>164394.01</v>
      </c>
      <c r="O4" s="10">
        <f t="shared" si="3"/>
        <v>2.4647088509060682</v>
      </c>
    </row>
    <row r="5" spans="1:15" x14ac:dyDescent="0.25">
      <c r="A5" s="11" t="s">
        <v>21</v>
      </c>
      <c r="B5" s="12">
        <v>1</v>
      </c>
      <c r="C5" s="12" t="s">
        <v>16</v>
      </c>
      <c r="D5" s="12" t="s">
        <v>17</v>
      </c>
      <c r="E5" s="12" t="s">
        <v>18</v>
      </c>
      <c r="F5" s="13">
        <v>33560</v>
      </c>
      <c r="G5" s="13">
        <v>14939</v>
      </c>
      <c r="H5" s="13">
        <v>1410</v>
      </c>
      <c r="I5" s="14">
        <f t="shared" si="0"/>
        <v>4.2014302741358762E-2</v>
      </c>
      <c r="J5" s="15">
        <v>65587.240000000005</v>
      </c>
      <c r="K5" s="16">
        <f t="shared" si="1"/>
        <v>46.515773049645396</v>
      </c>
      <c r="L5" s="13">
        <v>65</v>
      </c>
      <c r="M5" s="16">
        <f t="shared" si="2"/>
        <v>1009.0344615384616</v>
      </c>
      <c r="N5" s="15">
        <v>162117.4</v>
      </c>
      <c r="O5" s="17">
        <f t="shared" si="3"/>
        <v>2.4717826211317928</v>
      </c>
    </row>
    <row r="6" spans="1:15" x14ac:dyDescent="0.25">
      <c r="A6" s="4" t="s">
        <v>22</v>
      </c>
      <c r="B6" s="5">
        <v>1</v>
      </c>
      <c r="C6" s="5" t="s">
        <v>16</v>
      </c>
      <c r="D6" s="5" t="s">
        <v>17</v>
      </c>
      <c r="E6" s="5" t="s">
        <v>18</v>
      </c>
      <c r="F6" s="6">
        <v>38226</v>
      </c>
      <c r="G6" s="6">
        <v>17738</v>
      </c>
      <c r="H6" s="6">
        <v>1502</v>
      </c>
      <c r="I6" s="7">
        <f t="shared" si="0"/>
        <v>3.9292628054203943E-2</v>
      </c>
      <c r="J6" s="8">
        <v>76600.77</v>
      </c>
      <c r="K6" s="9">
        <f t="shared" si="1"/>
        <v>50.999181091877496</v>
      </c>
      <c r="L6" s="6">
        <v>76</v>
      </c>
      <c r="M6" s="9">
        <f t="shared" si="2"/>
        <v>1007.9048684210527</v>
      </c>
      <c r="N6" s="8">
        <v>202139.5</v>
      </c>
      <c r="O6" s="10">
        <f t="shared" si="3"/>
        <v>2.6388703403373097</v>
      </c>
    </row>
    <row r="7" spans="1:15" x14ac:dyDescent="0.25">
      <c r="A7" s="11" t="s">
        <v>23</v>
      </c>
      <c r="B7" s="12">
        <v>1</v>
      </c>
      <c r="C7" s="12" t="s">
        <v>16</v>
      </c>
      <c r="D7" s="12" t="s">
        <v>17</v>
      </c>
      <c r="E7" s="12" t="s">
        <v>18</v>
      </c>
      <c r="F7" s="13">
        <v>39307</v>
      </c>
      <c r="G7" s="13">
        <v>18374</v>
      </c>
      <c r="H7" s="13">
        <v>1476</v>
      </c>
      <c r="I7" s="14">
        <f t="shared" si="0"/>
        <v>3.7550563512860305E-2</v>
      </c>
      <c r="J7" s="15">
        <v>75318.19</v>
      </c>
      <c r="K7" s="16">
        <f t="shared" si="1"/>
        <v>51.028584010840113</v>
      </c>
      <c r="L7" s="13">
        <v>71</v>
      </c>
      <c r="M7" s="16">
        <f t="shared" si="2"/>
        <v>1060.8195774647888</v>
      </c>
      <c r="N7" s="15">
        <v>190680.81</v>
      </c>
      <c r="O7" s="17">
        <f t="shared" si="3"/>
        <v>2.531670105189729</v>
      </c>
    </row>
    <row r="8" spans="1:15" x14ac:dyDescent="0.25">
      <c r="A8" s="4" t="s">
        <v>24</v>
      </c>
      <c r="B8" s="5">
        <v>1</v>
      </c>
      <c r="C8" s="5" t="s">
        <v>16</v>
      </c>
      <c r="D8" s="5" t="s">
        <v>17</v>
      </c>
      <c r="E8" s="5" t="s">
        <v>18</v>
      </c>
      <c r="F8" s="6">
        <v>42062</v>
      </c>
      <c r="G8" s="6">
        <v>19534</v>
      </c>
      <c r="H8" s="6">
        <v>1644</v>
      </c>
      <c r="I8" s="7">
        <f t="shared" si="0"/>
        <v>3.9085160001901952E-2</v>
      </c>
      <c r="J8" s="8">
        <v>79941.960000000006</v>
      </c>
      <c r="K8" s="9">
        <f t="shared" si="1"/>
        <v>48.626496350364967</v>
      </c>
      <c r="L8" s="6">
        <v>82</v>
      </c>
      <c r="M8" s="9">
        <f t="shared" si="2"/>
        <v>974.90195121951228</v>
      </c>
      <c r="N8" s="8">
        <v>203516.98</v>
      </c>
      <c r="O8" s="10">
        <f t="shared" si="3"/>
        <v>2.5458092345997021</v>
      </c>
    </row>
    <row r="9" spans="1:15" x14ac:dyDescent="0.25">
      <c r="A9" s="11" t="s">
        <v>25</v>
      </c>
      <c r="B9" s="12">
        <v>2</v>
      </c>
      <c r="C9" s="12" t="s">
        <v>16</v>
      </c>
      <c r="D9" s="12" t="s">
        <v>17</v>
      </c>
      <c r="E9" s="12" t="s">
        <v>26</v>
      </c>
      <c r="F9" s="13">
        <v>45274</v>
      </c>
      <c r="G9" s="13">
        <v>20419</v>
      </c>
      <c r="H9" s="13">
        <v>1841</v>
      </c>
      <c r="I9" s="14">
        <f t="shared" si="0"/>
        <v>4.0663515483500466E-2</v>
      </c>
      <c r="J9" s="15">
        <v>88259.15</v>
      </c>
      <c r="K9" s="16">
        <f t="shared" si="1"/>
        <v>47.940874524714829</v>
      </c>
      <c r="L9" s="13">
        <v>94</v>
      </c>
      <c r="M9" s="16">
        <f t="shared" si="2"/>
        <v>938.92712765957435</v>
      </c>
      <c r="N9" s="15">
        <v>255071.84</v>
      </c>
      <c r="O9" s="17">
        <f t="shared" si="3"/>
        <v>2.8900328181270725</v>
      </c>
    </row>
    <row r="10" spans="1:15" x14ac:dyDescent="0.25">
      <c r="A10" s="4" t="s">
        <v>27</v>
      </c>
      <c r="B10" s="5">
        <v>2</v>
      </c>
      <c r="C10" s="5" t="s">
        <v>16</v>
      </c>
      <c r="D10" s="5" t="s">
        <v>17</v>
      </c>
      <c r="E10" s="5" t="s">
        <v>26</v>
      </c>
      <c r="F10" s="6">
        <v>47510</v>
      </c>
      <c r="G10" s="6">
        <v>21737</v>
      </c>
      <c r="H10" s="6">
        <v>1916</v>
      </c>
      <c r="I10" s="7">
        <f t="shared" si="0"/>
        <v>4.0328351925910333E-2</v>
      </c>
      <c r="J10" s="8">
        <v>90031.98</v>
      </c>
      <c r="K10" s="9">
        <f t="shared" si="1"/>
        <v>46.989551148225466</v>
      </c>
      <c r="L10" s="6">
        <v>107</v>
      </c>
      <c r="M10" s="9">
        <f t="shared" si="2"/>
        <v>841.42037383177569</v>
      </c>
      <c r="N10" s="8">
        <v>268835.86</v>
      </c>
      <c r="O10" s="10">
        <f t="shared" si="3"/>
        <v>2.9860040843264803</v>
      </c>
    </row>
    <row r="11" spans="1:15" x14ac:dyDescent="0.25">
      <c r="A11" s="11" t="s">
        <v>28</v>
      </c>
      <c r="B11" s="12">
        <v>2</v>
      </c>
      <c r="C11" s="12" t="s">
        <v>16</v>
      </c>
      <c r="D11" s="12" t="s">
        <v>17</v>
      </c>
      <c r="E11" s="12" t="s">
        <v>26</v>
      </c>
      <c r="F11" s="13">
        <v>43148</v>
      </c>
      <c r="G11" s="13">
        <v>20189</v>
      </c>
      <c r="H11" s="13">
        <v>1915</v>
      </c>
      <c r="I11" s="14">
        <f t="shared" si="0"/>
        <v>4.4382126633911188E-2</v>
      </c>
      <c r="J11" s="15">
        <v>83989.06</v>
      </c>
      <c r="K11" s="16">
        <f t="shared" si="1"/>
        <v>43.858516971279371</v>
      </c>
      <c r="L11" s="13">
        <v>104</v>
      </c>
      <c r="M11" s="16">
        <f t="shared" si="2"/>
        <v>807.58711538461534</v>
      </c>
      <c r="N11" s="15">
        <v>275391.96999999997</v>
      </c>
      <c r="O11" s="17">
        <f t="shared" si="3"/>
        <v>3.2789028713977748</v>
      </c>
    </row>
    <row r="12" spans="1:15" x14ac:dyDescent="0.25">
      <c r="A12" s="4" t="s">
        <v>29</v>
      </c>
      <c r="B12" s="5">
        <v>2</v>
      </c>
      <c r="C12" s="5" t="s">
        <v>16</v>
      </c>
      <c r="D12" s="5" t="s">
        <v>17</v>
      </c>
      <c r="E12" s="5" t="s">
        <v>26</v>
      </c>
      <c r="F12" s="6">
        <v>47544</v>
      </c>
      <c r="G12" s="6">
        <v>21969</v>
      </c>
      <c r="H12" s="6">
        <v>1942</v>
      </c>
      <c r="I12" s="7">
        <f t="shared" si="0"/>
        <v>4.0846373885243141E-2</v>
      </c>
      <c r="J12" s="8">
        <v>88400.21</v>
      </c>
      <c r="K12" s="9">
        <f t="shared" si="1"/>
        <v>45.520190525231726</v>
      </c>
      <c r="L12" s="6">
        <v>94</v>
      </c>
      <c r="M12" s="9">
        <f t="shared" si="2"/>
        <v>940.42776595744692</v>
      </c>
      <c r="N12" s="8">
        <v>239889.67</v>
      </c>
      <c r="O12" s="10">
        <f t="shared" si="3"/>
        <v>2.7136776032545624</v>
      </c>
    </row>
    <row r="13" spans="1:15" x14ac:dyDescent="0.25">
      <c r="A13" s="11" t="s">
        <v>30</v>
      </c>
      <c r="B13" s="12">
        <v>2</v>
      </c>
      <c r="C13" s="12" t="s">
        <v>16</v>
      </c>
      <c r="D13" s="12" t="s">
        <v>17</v>
      </c>
      <c r="E13" s="12" t="s">
        <v>26</v>
      </c>
      <c r="F13" s="13">
        <v>42970</v>
      </c>
      <c r="G13" s="13">
        <v>19193</v>
      </c>
      <c r="H13" s="13">
        <v>2020</v>
      </c>
      <c r="I13" s="14">
        <f t="shared" si="0"/>
        <v>4.7009541540609726E-2</v>
      </c>
      <c r="J13" s="15">
        <v>84600.56</v>
      </c>
      <c r="K13" s="16">
        <f t="shared" si="1"/>
        <v>41.881465346534654</v>
      </c>
      <c r="L13" s="13">
        <v>116</v>
      </c>
      <c r="M13" s="16">
        <f t="shared" si="2"/>
        <v>729.31517241379311</v>
      </c>
      <c r="N13" s="15">
        <v>296010.68</v>
      </c>
      <c r="O13" s="17">
        <f t="shared" si="3"/>
        <v>3.498921047331129</v>
      </c>
    </row>
    <row r="14" spans="1:15" x14ac:dyDescent="0.25">
      <c r="A14" s="4" t="s">
        <v>31</v>
      </c>
      <c r="B14" s="5">
        <v>2</v>
      </c>
      <c r="C14" s="5" t="s">
        <v>16</v>
      </c>
      <c r="D14" s="5" t="s">
        <v>17</v>
      </c>
      <c r="E14" s="5" t="s">
        <v>26</v>
      </c>
      <c r="F14" s="6">
        <v>47370</v>
      </c>
      <c r="G14" s="6">
        <v>21397</v>
      </c>
      <c r="H14" s="6">
        <v>2215</v>
      </c>
      <c r="I14" s="7">
        <f t="shared" si="0"/>
        <v>4.6759552459362468E-2</v>
      </c>
      <c r="J14" s="8">
        <v>89702.89</v>
      </c>
      <c r="K14" s="9">
        <f t="shared" si="1"/>
        <v>40.497918735891645</v>
      </c>
      <c r="L14" s="6">
        <v>118</v>
      </c>
      <c r="M14" s="9">
        <f t="shared" si="2"/>
        <v>760.19398305084746</v>
      </c>
      <c r="N14" s="8">
        <v>299586.52</v>
      </c>
      <c r="O14" s="10">
        <f t="shared" si="3"/>
        <v>3.339764415616933</v>
      </c>
    </row>
    <row r="15" spans="1:15" x14ac:dyDescent="0.25">
      <c r="A15" s="11" t="s">
        <v>32</v>
      </c>
      <c r="B15" s="12">
        <v>2</v>
      </c>
      <c r="C15" s="12" t="s">
        <v>16</v>
      </c>
      <c r="D15" s="12" t="s">
        <v>17</v>
      </c>
      <c r="E15" s="12" t="s">
        <v>26</v>
      </c>
      <c r="F15" s="13">
        <v>50691</v>
      </c>
      <c r="G15" s="13">
        <v>23126</v>
      </c>
      <c r="H15" s="13">
        <v>2085</v>
      </c>
      <c r="I15" s="14">
        <f t="shared" si="0"/>
        <v>4.113156181570693E-2</v>
      </c>
      <c r="J15" s="15">
        <v>100016.14</v>
      </c>
      <c r="K15" s="16">
        <f t="shared" si="1"/>
        <v>47.969371702637886</v>
      </c>
      <c r="L15" s="13">
        <v>114</v>
      </c>
      <c r="M15" s="16">
        <f t="shared" si="2"/>
        <v>877.33456140350881</v>
      </c>
      <c r="N15" s="15">
        <v>308191.46999999997</v>
      </c>
      <c r="O15" s="17">
        <f t="shared" si="3"/>
        <v>3.0814173592382188</v>
      </c>
    </row>
    <row r="16" spans="1:15" x14ac:dyDescent="0.25">
      <c r="A16" s="4" t="s">
        <v>33</v>
      </c>
      <c r="B16" s="5">
        <v>3</v>
      </c>
      <c r="C16" s="5" t="s">
        <v>34</v>
      </c>
      <c r="D16" s="5" t="s">
        <v>17</v>
      </c>
      <c r="E16" s="5" t="s">
        <v>35</v>
      </c>
      <c r="F16" s="6">
        <v>47914</v>
      </c>
      <c r="G16" s="6">
        <v>22161</v>
      </c>
      <c r="H16" s="6">
        <v>2546</v>
      </c>
      <c r="I16" s="7">
        <f t="shared" si="0"/>
        <v>5.313687022582126E-2</v>
      </c>
      <c r="J16" s="8">
        <v>90983.81</v>
      </c>
      <c r="K16" s="9">
        <f t="shared" si="1"/>
        <v>35.735981932443046</v>
      </c>
      <c r="L16" s="6">
        <v>156</v>
      </c>
      <c r="M16" s="9">
        <f t="shared" si="2"/>
        <v>583.22955128205126</v>
      </c>
      <c r="N16" s="8">
        <v>400798.48</v>
      </c>
      <c r="O16" s="10">
        <f t="shared" si="3"/>
        <v>4.4051626327804909</v>
      </c>
    </row>
    <row r="17" spans="1:15" x14ac:dyDescent="0.25">
      <c r="A17" s="11" t="s">
        <v>36</v>
      </c>
      <c r="B17" s="12">
        <v>3</v>
      </c>
      <c r="C17" s="12" t="s">
        <v>34</v>
      </c>
      <c r="D17" s="12" t="s">
        <v>17</v>
      </c>
      <c r="E17" s="12" t="s">
        <v>35</v>
      </c>
      <c r="F17" s="13">
        <v>46892</v>
      </c>
      <c r="G17" s="13">
        <v>21352</v>
      </c>
      <c r="H17" s="13">
        <v>2769</v>
      </c>
      <c r="I17" s="14">
        <f t="shared" si="0"/>
        <v>5.9050584321419429E-2</v>
      </c>
      <c r="J17" s="15">
        <v>85915.55</v>
      </c>
      <c r="K17" s="16">
        <f t="shared" si="1"/>
        <v>31.027645359335501</v>
      </c>
      <c r="L17" s="13">
        <v>199</v>
      </c>
      <c r="M17" s="16">
        <f t="shared" si="2"/>
        <v>431.73643216080404</v>
      </c>
      <c r="N17" s="15">
        <v>492124.03</v>
      </c>
      <c r="O17" s="17">
        <f t="shared" si="3"/>
        <v>5.7279972019034968</v>
      </c>
    </row>
    <row r="18" spans="1:15" x14ac:dyDescent="0.25">
      <c r="A18" s="4" t="s">
        <v>37</v>
      </c>
      <c r="B18" s="5">
        <v>3</v>
      </c>
      <c r="C18" s="5" t="s">
        <v>34</v>
      </c>
      <c r="D18" s="5" t="s">
        <v>17</v>
      </c>
      <c r="E18" s="5" t="s">
        <v>35</v>
      </c>
      <c r="F18" s="6">
        <v>57303</v>
      </c>
      <c r="G18" s="6">
        <v>26331</v>
      </c>
      <c r="H18" s="6">
        <v>3115</v>
      </c>
      <c r="I18" s="7">
        <f t="shared" si="0"/>
        <v>5.4360155663752331E-2</v>
      </c>
      <c r="J18" s="8">
        <v>107818.1</v>
      </c>
      <c r="K18" s="9">
        <f t="shared" si="1"/>
        <v>34.612552166934194</v>
      </c>
      <c r="L18" s="6">
        <v>199</v>
      </c>
      <c r="M18" s="9">
        <f t="shared" si="2"/>
        <v>541.79949748743718</v>
      </c>
      <c r="N18" s="8">
        <v>524693.36</v>
      </c>
      <c r="O18" s="10">
        <f t="shared" si="3"/>
        <v>4.8664682460551614</v>
      </c>
    </row>
    <row r="19" spans="1:15" x14ac:dyDescent="0.25">
      <c r="A19" s="11" t="s">
        <v>38</v>
      </c>
      <c r="B19" s="12">
        <v>3</v>
      </c>
      <c r="C19" s="12" t="s">
        <v>34</v>
      </c>
      <c r="D19" s="12" t="s">
        <v>17</v>
      </c>
      <c r="E19" s="12" t="s">
        <v>35</v>
      </c>
      <c r="F19" s="13">
        <v>47023</v>
      </c>
      <c r="G19" s="13">
        <v>21290</v>
      </c>
      <c r="H19" s="13">
        <v>2514</v>
      </c>
      <c r="I19" s="14">
        <f t="shared" si="0"/>
        <v>5.3463198860132274E-2</v>
      </c>
      <c r="J19" s="15">
        <v>94083.25</v>
      </c>
      <c r="K19" s="16">
        <f t="shared" si="1"/>
        <v>37.423727128082739</v>
      </c>
      <c r="L19" s="13">
        <v>184</v>
      </c>
      <c r="M19" s="16">
        <f t="shared" si="2"/>
        <v>511.32201086956519</v>
      </c>
      <c r="N19" s="15">
        <v>496380.8</v>
      </c>
      <c r="O19" s="17">
        <f t="shared" si="3"/>
        <v>5.275974203697257</v>
      </c>
    </row>
    <row r="20" spans="1:15" x14ac:dyDescent="0.25">
      <c r="A20" s="4" t="s">
        <v>39</v>
      </c>
      <c r="B20" s="5">
        <v>3</v>
      </c>
      <c r="C20" s="5" t="s">
        <v>34</v>
      </c>
      <c r="D20" s="5" t="s">
        <v>17</v>
      </c>
      <c r="E20" s="5" t="s">
        <v>35</v>
      </c>
      <c r="F20" s="6">
        <v>41784</v>
      </c>
      <c r="G20" s="6">
        <v>18993</v>
      </c>
      <c r="H20" s="6">
        <v>2110</v>
      </c>
      <c r="I20" s="7">
        <f t="shared" si="0"/>
        <v>5.0497798200268042E-2</v>
      </c>
      <c r="J20" s="8">
        <v>82301.47</v>
      </c>
      <c r="K20" s="9">
        <f t="shared" si="1"/>
        <v>39.005436018957347</v>
      </c>
      <c r="L20" s="6">
        <v>153</v>
      </c>
      <c r="M20" s="9">
        <f t="shared" si="2"/>
        <v>537.9181045751634</v>
      </c>
      <c r="N20" s="8">
        <v>412539.23</v>
      </c>
      <c r="O20" s="10">
        <f t="shared" si="3"/>
        <v>5.0125378076479068</v>
      </c>
    </row>
    <row r="21" spans="1:15" x14ac:dyDescent="0.25">
      <c r="A21" s="11" t="s">
        <v>40</v>
      </c>
      <c r="B21" s="12">
        <v>3</v>
      </c>
      <c r="C21" s="12" t="s">
        <v>34</v>
      </c>
      <c r="D21" s="12" t="s">
        <v>17</v>
      </c>
      <c r="E21" s="12" t="s">
        <v>35</v>
      </c>
      <c r="F21" s="13">
        <v>41306</v>
      </c>
      <c r="G21" s="13">
        <v>18932</v>
      </c>
      <c r="H21" s="13">
        <v>2278</v>
      </c>
      <c r="I21" s="14">
        <f t="shared" si="0"/>
        <v>5.5149372972449526E-2</v>
      </c>
      <c r="J21" s="15">
        <v>81068.929999999993</v>
      </c>
      <c r="K21" s="16">
        <f t="shared" si="1"/>
        <v>35.587765583845474</v>
      </c>
      <c r="L21" s="13">
        <v>142</v>
      </c>
      <c r="M21" s="16">
        <f t="shared" si="2"/>
        <v>570.90795774647881</v>
      </c>
      <c r="N21" s="15">
        <v>378891.9</v>
      </c>
      <c r="O21" s="17">
        <f t="shared" si="3"/>
        <v>4.6737005163383811</v>
      </c>
    </row>
    <row r="22" spans="1:15" x14ac:dyDescent="0.25">
      <c r="A22" s="4" t="s">
        <v>41</v>
      </c>
      <c r="B22" s="5">
        <v>3</v>
      </c>
      <c r="C22" s="5" t="s">
        <v>34</v>
      </c>
      <c r="D22" s="5" t="s">
        <v>17</v>
      </c>
      <c r="E22" s="5" t="s">
        <v>35</v>
      </c>
      <c r="F22" s="6">
        <v>43241</v>
      </c>
      <c r="G22" s="6">
        <v>19984</v>
      </c>
      <c r="H22" s="6">
        <v>2348</v>
      </c>
      <c r="I22" s="7">
        <f t="shared" si="0"/>
        <v>5.4300316828935498E-2</v>
      </c>
      <c r="J22" s="8">
        <v>82828.89</v>
      </c>
      <c r="K22" s="9">
        <f t="shared" si="1"/>
        <v>35.276358603066441</v>
      </c>
      <c r="L22" s="6">
        <v>142</v>
      </c>
      <c r="M22" s="9">
        <f t="shared" si="2"/>
        <v>583.30204225352111</v>
      </c>
      <c r="N22" s="8">
        <v>362707.84</v>
      </c>
      <c r="O22" s="10">
        <f t="shared" si="3"/>
        <v>4.3790015778311169</v>
      </c>
    </row>
    <row r="23" spans="1:15" x14ac:dyDescent="0.25">
      <c r="A23" s="11" t="s">
        <v>42</v>
      </c>
      <c r="B23" s="12">
        <v>4</v>
      </c>
      <c r="C23" s="12" t="s">
        <v>43</v>
      </c>
      <c r="D23" s="12" t="s">
        <v>17</v>
      </c>
      <c r="E23" s="12" t="s">
        <v>44</v>
      </c>
      <c r="F23" s="13">
        <v>48969</v>
      </c>
      <c r="G23" s="13">
        <v>21705</v>
      </c>
      <c r="H23" s="13">
        <v>2933</v>
      </c>
      <c r="I23" s="14">
        <f t="shared" si="0"/>
        <v>5.9895035634789359E-2</v>
      </c>
      <c r="J23" s="15">
        <v>90142.84</v>
      </c>
      <c r="K23" s="16">
        <f t="shared" si="1"/>
        <v>30.73400613706103</v>
      </c>
      <c r="L23" s="13">
        <v>200</v>
      </c>
      <c r="M23" s="16">
        <f t="shared" si="2"/>
        <v>450.71420000000001</v>
      </c>
      <c r="N23" s="15">
        <v>533551.31000000006</v>
      </c>
      <c r="O23" s="17">
        <f t="shared" si="3"/>
        <v>5.9189538514650755</v>
      </c>
    </row>
    <row r="24" spans="1:15" x14ac:dyDescent="0.25">
      <c r="A24" s="4" t="s">
        <v>45</v>
      </c>
      <c r="B24" s="5">
        <v>4</v>
      </c>
      <c r="C24" s="5" t="s">
        <v>43</v>
      </c>
      <c r="D24" s="5" t="s">
        <v>17</v>
      </c>
      <c r="E24" s="5" t="s">
        <v>44</v>
      </c>
      <c r="F24" s="6">
        <v>63463</v>
      </c>
      <c r="G24" s="6">
        <v>28204</v>
      </c>
      <c r="H24" s="6">
        <v>3793</v>
      </c>
      <c r="I24" s="7">
        <f t="shared" si="0"/>
        <v>5.9767108393867292E-2</v>
      </c>
      <c r="J24" s="8">
        <v>118885</v>
      </c>
      <c r="K24" s="9">
        <f t="shared" si="1"/>
        <v>31.343263907197468</v>
      </c>
      <c r="L24" s="6">
        <v>285</v>
      </c>
      <c r="M24" s="9">
        <f t="shared" si="2"/>
        <v>417.14035087719299</v>
      </c>
      <c r="N24" s="8">
        <v>723590.7</v>
      </c>
      <c r="O24" s="10">
        <f t="shared" si="3"/>
        <v>6.086476006224502</v>
      </c>
    </row>
    <row r="25" spans="1:15" x14ac:dyDescent="0.25">
      <c r="A25" s="11" t="s">
        <v>46</v>
      </c>
      <c r="B25" s="12">
        <v>4</v>
      </c>
      <c r="C25" s="12" t="s">
        <v>43</v>
      </c>
      <c r="D25" s="12" t="s">
        <v>17</v>
      </c>
      <c r="E25" s="12" t="s">
        <v>44</v>
      </c>
      <c r="F25" s="13">
        <v>63264</v>
      </c>
      <c r="G25" s="13">
        <v>28624</v>
      </c>
      <c r="H25" s="13">
        <v>3581</v>
      </c>
      <c r="I25" s="14">
        <f t="shared" si="0"/>
        <v>5.660407182599899E-2</v>
      </c>
      <c r="J25" s="15">
        <v>117293.2</v>
      </c>
      <c r="K25" s="16">
        <f t="shared" si="1"/>
        <v>32.754314437308011</v>
      </c>
      <c r="L25" s="13">
        <v>269</v>
      </c>
      <c r="M25" s="16">
        <f t="shared" si="2"/>
        <v>436.03420074349441</v>
      </c>
      <c r="N25" s="15">
        <v>715481.38</v>
      </c>
      <c r="O25" s="17">
        <f t="shared" si="3"/>
        <v>6.099939126905908</v>
      </c>
    </row>
    <row r="26" spans="1:15" x14ac:dyDescent="0.25">
      <c r="A26" s="4" t="s">
        <v>47</v>
      </c>
      <c r="B26" s="5">
        <v>4</v>
      </c>
      <c r="C26" s="5" t="s">
        <v>43</v>
      </c>
      <c r="D26" s="5" t="s">
        <v>17</v>
      </c>
      <c r="E26" s="5" t="s">
        <v>44</v>
      </c>
      <c r="F26" s="6">
        <v>58420</v>
      </c>
      <c r="G26" s="6">
        <v>26255</v>
      </c>
      <c r="H26" s="6">
        <v>3857</v>
      </c>
      <c r="I26" s="7">
        <f t="shared" si="0"/>
        <v>6.6021910304690179E-2</v>
      </c>
      <c r="J26" s="8">
        <v>115806.31</v>
      </c>
      <c r="K26" s="9">
        <f t="shared" si="1"/>
        <v>30.024970184080892</v>
      </c>
      <c r="L26" s="6">
        <v>296</v>
      </c>
      <c r="M26" s="9">
        <f t="shared" si="2"/>
        <v>391.23753378378376</v>
      </c>
      <c r="N26" s="8">
        <v>764836.18</v>
      </c>
      <c r="O26" s="10">
        <f t="shared" si="3"/>
        <v>6.6044430566866357</v>
      </c>
    </row>
    <row r="27" spans="1:15" x14ac:dyDescent="0.25">
      <c r="A27" s="11" t="s">
        <v>48</v>
      </c>
      <c r="B27" s="12">
        <v>4</v>
      </c>
      <c r="C27" s="12" t="s">
        <v>43</v>
      </c>
      <c r="D27" s="12" t="s">
        <v>17</v>
      </c>
      <c r="E27" s="12" t="s">
        <v>44</v>
      </c>
      <c r="F27" s="13">
        <v>51698</v>
      </c>
      <c r="G27" s="13">
        <v>22965</v>
      </c>
      <c r="H27" s="13">
        <v>2935</v>
      </c>
      <c r="I27" s="14">
        <f t="shared" si="0"/>
        <v>5.6772022128515613E-2</v>
      </c>
      <c r="J27" s="15">
        <v>99244.22</v>
      </c>
      <c r="K27" s="16">
        <f t="shared" si="1"/>
        <v>33.814044293015336</v>
      </c>
      <c r="L27" s="13">
        <v>212</v>
      </c>
      <c r="M27" s="16">
        <f t="shared" si="2"/>
        <v>468.13311320754718</v>
      </c>
      <c r="N27" s="15">
        <v>556067.57999999996</v>
      </c>
      <c r="O27" s="17">
        <f t="shared" si="3"/>
        <v>5.6030223221060123</v>
      </c>
    </row>
    <row r="28" spans="1:15" x14ac:dyDescent="0.25">
      <c r="A28" s="4" t="s">
        <v>49</v>
      </c>
      <c r="B28" s="5">
        <v>4</v>
      </c>
      <c r="C28" s="5" t="s">
        <v>43</v>
      </c>
      <c r="D28" s="5" t="s">
        <v>17</v>
      </c>
      <c r="E28" s="5" t="s">
        <v>44</v>
      </c>
      <c r="F28" s="6">
        <v>46224</v>
      </c>
      <c r="G28" s="6">
        <v>20658</v>
      </c>
      <c r="H28" s="6">
        <v>2538</v>
      </c>
      <c r="I28" s="7">
        <f t="shared" si="0"/>
        <v>5.4906542056074766E-2</v>
      </c>
      <c r="J28" s="8">
        <v>91357.73</v>
      </c>
      <c r="K28" s="9">
        <f t="shared" si="1"/>
        <v>35.995953506698186</v>
      </c>
      <c r="L28" s="6">
        <v>194</v>
      </c>
      <c r="M28" s="9">
        <f t="shared" si="2"/>
        <v>470.91613402061853</v>
      </c>
      <c r="N28" s="8">
        <v>490727.82</v>
      </c>
      <c r="O28" s="10">
        <f t="shared" si="3"/>
        <v>5.3714975186007798</v>
      </c>
    </row>
    <row r="29" spans="1:15" x14ac:dyDescent="0.25">
      <c r="A29" s="11" t="s">
        <v>50</v>
      </c>
      <c r="B29" s="12">
        <v>4</v>
      </c>
      <c r="C29" s="12" t="s">
        <v>43</v>
      </c>
      <c r="D29" s="12" t="s">
        <v>17</v>
      </c>
      <c r="E29" s="12" t="s">
        <v>44</v>
      </c>
      <c r="F29" s="13">
        <v>63453</v>
      </c>
      <c r="G29" s="13">
        <v>29465</v>
      </c>
      <c r="H29" s="13">
        <v>3484</v>
      </c>
      <c r="I29" s="14">
        <f t="shared" si="0"/>
        <v>5.4906781397254661E-2</v>
      </c>
      <c r="J29" s="15">
        <v>117270.69</v>
      </c>
      <c r="K29" s="16">
        <f t="shared" si="1"/>
        <v>33.659784730195177</v>
      </c>
      <c r="L29" s="13">
        <v>246</v>
      </c>
      <c r="M29" s="16">
        <f t="shared" si="2"/>
        <v>476.71012195121955</v>
      </c>
      <c r="N29" s="15">
        <v>650407.81999999995</v>
      </c>
      <c r="O29" s="17">
        <f t="shared" si="3"/>
        <v>5.5462095430665581</v>
      </c>
    </row>
    <row r="30" spans="1:15" x14ac:dyDescent="0.25">
      <c r="A30" s="4" t="s">
        <v>15</v>
      </c>
      <c r="B30" s="5">
        <v>1</v>
      </c>
      <c r="C30" s="5" t="s">
        <v>16</v>
      </c>
      <c r="D30" s="5" t="s">
        <v>51</v>
      </c>
      <c r="E30" s="5" t="s">
        <v>52</v>
      </c>
      <c r="F30" s="6">
        <v>2984</v>
      </c>
      <c r="G30" s="6">
        <v>2647</v>
      </c>
      <c r="H30" s="6">
        <v>147</v>
      </c>
      <c r="I30" s="7">
        <f t="shared" si="0"/>
        <v>4.92627345844504E-2</v>
      </c>
      <c r="J30" s="8">
        <v>25662.42</v>
      </c>
      <c r="K30" s="9">
        <f t="shared" si="1"/>
        <v>174.57428571428571</v>
      </c>
      <c r="L30" s="6">
        <v>20</v>
      </c>
      <c r="M30" s="9">
        <f t="shared" si="2"/>
        <v>1283.1209999999999</v>
      </c>
      <c r="N30" s="8">
        <v>51828.53</v>
      </c>
      <c r="O30" s="10">
        <f t="shared" si="3"/>
        <v>2.0196275331788662</v>
      </c>
    </row>
    <row r="31" spans="1:15" x14ac:dyDescent="0.25">
      <c r="A31" s="11" t="s">
        <v>19</v>
      </c>
      <c r="B31" s="12">
        <v>1</v>
      </c>
      <c r="C31" s="12" t="s">
        <v>16</v>
      </c>
      <c r="D31" s="12" t="s">
        <v>51</v>
      </c>
      <c r="E31" s="12" t="s">
        <v>52</v>
      </c>
      <c r="F31" s="13">
        <v>3065</v>
      </c>
      <c r="G31" s="13">
        <v>2815</v>
      </c>
      <c r="H31" s="13">
        <v>168</v>
      </c>
      <c r="I31" s="14">
        <f t="shared" si="0"/>
        <v>5.4812398042414355E-2</v>
      </c>
      <c r="J31" s="15">
        <v>24972.560000000001</v>
      </c>
      <c r="K31" s="16">
        <f t="shared" si="1"/>
        <v>148.6461904761905</v>
      </c>
      <c r="L31" s="13">
        <v>21</v>
      </c>
      <c r="M31" s="16">
        <f t="shared" si="2"/>
        <v>1189.169523809524</v>
      </c>
      <c r="N31" s="15">
        <v>54068.31</v>
      </c>
      <c r="O31" s="17">
        <f t="shared" si="3"/>
        <v>2.1651088234446125</v>
      </c>
    </row>
    <row r="32" spans="1:15" x14ac:dyDescent="0.25">
      <c r="A32" s="4" t="s">
        <v>20</v>
      </c>
      <c r="B32" s="5">
        <v>1</v>
      </c>
      <c r="C32" s="5" t="s">
        <v>16</v>
      </c>
      <c r="D32" s="5" t="s">
        <v>51</v>
      </c>
      <c r="E32" s="5" t="s">
        <v>52</v>
      </c>
      <c r="F32" s="6">
        <v>3747</v>
      </c>
      <c r="G32" s="6">
        <v>3480</v>
      </c>
      <c r="H32" s="6">
        <v>178</v>
      </c>
      <c r="I32" s="7">
        <f t="shared" si="0"/>
        <v>4.7504670402989058E-2</v>
      </c>
      <c r="J32" s="8">
        <v>31736.02</v>
      </c>
      <c r="K32" s="9">
        <f t="shared" si="1"/>
        <v>178.29224719101123</v>
      </c>
      <c r="L32" s="6">
        <v>23</v>
      </c>
      <c r="M32" s="9">
        <f t="shared" si="2"/>
        <v>1379.8269565217392</v>
      </c>
      <c r="N32" s="8">
        <v>59492.71</v>
      </c>
      <c r="O32" s="10">
        <f t="shared" si="3"/>
        <v>1.8746115612480707</v>
      </c>
    </row>
    <row r="33" spans="1:15" x14ac:dyDescent="0.25">
      <c r="A33" s="11" t="s">
        <v>21</v>
      </c>
      <c r="B33" s="12">
        <v>1</v>
      </c>
      <c r="C33" s="12" t="s">
        <v>16</v>
      </c>
      <c r="D33" s="12" t="s">
        <v>51</v>
      </c>
      <c r="E33" s="12" t="s">
        <v>52</v>
      </c>
      <c r="F33" s="13">
        <v>3413</v>
      </c>
      <c r="G33" s="13">
        <v>3062</v>
      </c>
      <c r="H33" s="13">
        <v>162</v>
      </c>
      <c r="I33" s="14">
        <f t="shared" si="0"/>
        <v>4.746557280984471E-2</v>
      </c>
      <c r="J33" s="15">
        <v>28666.95</v>
      </c>
      <c r="K33" s="16">
        <f t="shared" si="1"/>
        <v>176.95648148148149</v>
      </c>
      <c r="L33" s="13">
        <v>24</v>
      </c>
      <c r="M33" s="16">
        <f t="shared" si="2"/>
        <v>1194.45625</v>
      </c>
      <c r="N33" s="15">
        <v>62045.14</v>
      </c>
      <c r="O33" s="17">
        <f t="shared" si="3"/>
        <v>2.1643439570655407</v>
      </c>
    </row>
    <row r="34" spans="1:15" x14ac:dyDescent="0.25">
      <c r="A34" s="4" t="s">
        <v>22</v>
      </c>
      <c r="B34" s="5">
        <v>1</v>
      </c>
      <c r="C34" s="5" t="s">
        <v>16</v>
      </c>
      <c r="D34" s="5" t="s">
        <v>51</v>
      </c>
      <c r="E34" s="5" t="s">
        <v>52</v>
      </c>
      <c r="F34" s="6">
        <v>3461</v>
      </c>
      <c r="G34" s="6">
        <v>3156</v>
      </c>
      <c r="H34" s="6">
        <v>158</v>
      </c>
      <c r="I34" s="7">
        <f t="shared" ref="I34:I65" si="4">IFERROR(H34/F34,0)</f>
        <v>4.5651545796012716E-2</v>
      </c>
      <c r="J34" s="8">
        <v>27838.6</v>
      </c>
      <c r="K34" s="9">
        <f t="shared" ref="K34:K65" si="5">IFERROR(J34/H34,0)</f>
        <v>176.19367088607595</v>
      </c>
      <c r="L34" s="6">
        <v>24</v>
      </c>
      <c r="M34" s="9">
        <f t="shared" ref="M34:M65" si="6">IFERROR(J34/L34,0)</f>
        <v>1159.9416666666666</v>
      </c>
      <c r="N34" s="8">
        <v>64496.81</v>
      </c>
      <c r="O34" s="10">
        <f t="shared" ref="O34:O65" si="7">IFERROR(N34/J34,0)</f>
        <v>2.3168122678582974</v>
      </c>
    </row>
    <row r="35" spans="1:15" x14ac:dyDescent="0.25">
      <c r="A35" s="11" t="s">
        <v>23</v>
      </c>
      <c r="B35" s="12">
        <v>1</v>
      </c>
      <c r="C35" s="12" t="s">
        <v>16</v>
      </c>
      <c r="D35" s="12" t="s">
        <v>51</v>
      </c>
      <c r="E35" s="12" t="s">
        <v>52</v>
      </c>
      <c r="F35" s="13">
        <v>3827</v>
      </c>
      <c r="G35" s="13">
        <v>3568</v>
      </c>
      <c r="H35" s="13">
        <v>205</v>
      </c>
      <c r="I35" s="14">
        <f t="shared" si="4"/>
        <v>5.356676247713614E-2</v>
      </c>
      <c r="J35" s="15">
        <v>30465.4</v>
      </c>
      <c r="K35" s="16">
        <f t="shared" si="5"/>
        <v>148.61170731707318</v>
      </c>
      <c r="L35" s="13">
        <v>27</v>
      </c>
      <c r="M35" s="16">
        <f t="shared" si="6"/>
        <v>1128.3481481481483</v>
      </c>
      <c r="N35" s="15">
        <v>70099.199999999997</v>
      </c>
      <c r="O35" s="17">
        <f t="shared" si="7"/>
        <v>2.3009446782251337</v>
      </c>
    </row>
    <row r="36" spans="1:15" x14ac:dyDescent="0.25">
      <c r="A36" s="4" t="s">
        <v>24</v>
      </c>
      <c r="B36" s="5">
        <v>1</v>
      </c>
      <c r="C36" s="5" t="s">
        <v>16</v>
      </c>
      <c r="D36" s="5" t="s">
        <v>51</v>
      </c>
      <c r="E36" s="5" t="s">
        <v>52</v>
      </c>
      <c r="F36" s="6">
        <v>3574</v>
      </c>
      <c r="G36" s="6">
        <v>3230</v>
      </c>
      <c r="H36" s="6">
        <v>163</v>
      </c>
      <c r="I36" s="7">
        <f t="shared" si="4"/>
        <v>4.5607162842753221E-2</v>
      </c>
      <c r="J36" s="8">
        <v>30658.04</v>
      </c>
      <c r="K36" s="9">
        <f t="shared" si="5"/>
        <v>188.08613496932517</v>
      </c>
      <c r="L36" s="6">
        <v>22</v>
      </c>
      <c r="M36" s="9">
        <f t="shared" si="6"/>
        <v>1393.5472727272727</v>
      </c>
      <c r="N36" s="8">
        <v>59975.97</v>
      </c>
      <c r="O36" s="10">
        <f t="shared" si="7"/>
        <v>1.9562884646246139</v>
      </c>
    </row>
    <row r="37" spans="1:15" x14ac:dyDescent="0.25">
      <c r="A37" s="11" t="s">
        <v>25</v>
      </c>
      <c r="B37" s="12">
        <v>2</v>
      </c>
      <c r="C37" s="12" t="s">
        <v>16</v>
      </c>
      <c r="D37" s="12" t="s">
        <v>51</v>
      </c>
      <c r="E37" s="12" t="s">
        <v>53</v>
      </c>
      <c r="F37" s="13">
        <v>3914</v>
      </c>
      <c r="G37" s="13">
        <v>3484</v>
      </c>
      <c r="H37" s="13">
        <v>211</v>
      </c>
      <c r="I37" s="14">
        <f t="shared" si="4"/>
        <v>5.3909044455799693E-2</v>
      </c>
      <c r="J37" s="15">
        <v>31918.49</v>
      </c>
      <c r="K37" s="16">
        <f t="shared" si="5"/>
        <v>151.2724644549763</v>
      </c>
      <c r="L37" s="13">
        <v>36</v>
      </c>
      <c r="M37" s="16">
        <f t="shared" si="6"/>
        <v>886.62472222222232</v>
      </c>
      <c r="N37" s="15">
        <v>94341.13</v>
      </c>
      <c r="O37" s="17">
        <f t="shared" si="7"/>
        <v>2.9556890065914772</v>
      </c>
    </row>
    <row r="38" spans="1:15" x14ac:dyDescent="0.25">
      <c r="A38" s="4" t="s">
        <v>27</v>
      </c>
      <c r="B38" s="5">
        <v>2</v>
      </c>
      <c r="C38" s="5" t="s">
        <v>16</v>
      </c>
      <c r="D38" s="5" t="s">
        <v>51</v>
      </c>
      <c r="E38" s="5" t="s">
        <v>53</v>
      </c>
      <c r="F38" s="6">
        <v>4490</v>
      </c>
      <c r="G38" s="6">
        <v>4143</v>
      </c>
      <c r="H38" s="6">
        <v>230</v>
      </c>
      <c r="I38" s="7">
        <f t="shared" si="4"/>
        <v>5.1224944320712694E-2</v>
      </c>
      <c r="J38" s="8">
        <v>37263.43</v>
      </c>
      <c r="K38" s="9">
        <f t="shared" si="5"/>
        <v>162.01491304347826</v>
      </c>
      <c r="L38" s="6">
        <v>36</v>
      </c>
      <c r="M38" s="9">
        <f t="shared" si="6"/>
        <v>1035.0952777777777</v>
      </c>
      <c r="N38" s="8">
        <v>93626.68</v>
      </c>
      <c r="O38" s="10">
        <f t="shared" si="7"/>
        <v>2.5125620480991682</v>
      </c>
    </row>
    <row r="39" spans="1:15" x14ac:dyDescent="0.25">
      <c r="A39" s="11" t="s">
        <v>28</v>
      </c>
      <c r="B39" s="12">
        <v>2</v>
      </c>
      <c r="C39" s="12" t="s">
        <v>16</v>
      </c>
      <c r="D39" s="12" t="s">
        <v>51</v>
      </c>
      <c r="E39" s="12" t="s">
        <v>53</v>
      </c>
      <c r="F39" s="13">
        <v>4208</v>
      </c>
      <c r="G39" s="13">
        <v>3747</v>
      </c>
      <c r="H39" s="13">
        <v>258</v>
      </c>
      <c r="I39" s="14">
        <f t="shared" si="4"/>
        <v>6.1311787072243343E-2</v>
      </c>
      <c r="J39" s="15">
        <v>33873.71</v>
      </c>
      <c r="K39" s="16">
        <f t="shared" si="5"/>
        <v>131.29344961240309</v>
      </c>
      <c r="L39" s="13">
        <v>37</v>
      </c>
      <c r="M39" s="16">
        <f t="shared" si="6"/>
        <v>915.50567567567566</v>
      </c>
      <c r="N39" s="15">
        <v>93177.64</v>
      </c>
      <c r="O39" s="17">
        <f t="shared" si="7"/>
        <v>2.7507361903966232</v>
      </c>
    </row>
    <row r="40" spans="1:15" x14ac:dyDescent="0.25">
      <c r="A40" s="4" t="s">
        <v>29</v>
      </c>
      <c r="B40" s="5">
        <v>2</v>
      </c>
      <c r="C40" s="5" t="s">
        <v>16</v>
      </c>
      <c r="D40" s="5" t="s">
        <v>51</v>
      </c>
      <c r="E40" s="5" t="s">
        <v>53</v>
      </c>
      <c r="F40" s="6">
        <v>4064</v>
      </c>
      <c r="G40" s="6">
        <v>3733</v>
      </c>
      <c r="H40" s="6">
        <v>216</v>
      </c>
      <c r="I40" s="7">
        <f t="shared" si="4"/>
        <v>5.3149606299212601E-2</v>
      </c>
      <c r="J40" s="8">
        <v>33544.06</v>
      </c>
      <c r="K40" s="9">
        <f t="shared" si="5"/>
        <v>155.29657407407407</v>
      </c>
      <c r="L40" s="6">
        <v>31</v>
      </c>
      <c r="M40" s="9">
        <f t="shared" si="6"/>
        <v>1082.0664516129032</v>
      </c>
      <c r="N40" s="8">
        <v>83745.72</v>
      </c>
      <c r="O40" s="10">
        <f t="shared" si="7"/>
        <v>2.4965886657727183</v>
      </c>
    </row>
    <row r="41" spans="1:15" x14ac:dyDescent="0.25">
      <c r="A41" s="11" t="s">
        <v>30</v>
      </c>
      <c r="B41" s="12">
        <v>2</v>
      </c>
      <c r="C41" s="12" t="s">
        <v>16</v>
      </c>
      <c r="D41" s="12" t="s">
        <v>51</v>
      </c>
      <c r="E41" s="12" t="s">
        <v>53</v>
      </c>
      <c r="F41" s="13">
        <v>4567</v>
      </c>
      <c r="G41" s="13">
        <v>4175</v>
      </c>
      <c r="H41" s="13">
        <v>262</v>
      </c>
      <c r="I41" s="14">
        <f t="shared" si="4"/>
        <v>5.7368075322969128E-2</v>
      </c>
      <c r="J41" s="15">
        <v>39048.07</v>
      </c>
      <c r="K41" s="16">
        <f t="shared" si="5"/>
        <v>149.03843511450381</v>
      </c>
      <c r="L41" s="13">
        <v>40</v>
      </c>
      <c r="M41" s="16">
        <f t="shared" si="6"/>
        <v>976.20174999999995</v>
      </c>
      <c r="N41" s="15">
        <v>104870.19</v>
      </c>
      <c r="O41" s="17">
        <f t="shared" si="7"/>
        <v>2.6856689716034623</v>
      </c>
    </row>
    <row r="42" spans="1:15" x14ac:dyDescent="0.25">
      <c r="A42" s="4" t="s">
        <v>31</v>
      </c>
      <c r="B42" s="5">
        <v>2</v>
      </c>
      <c r="C42" s="5" t="s">
        <v>16</v>
      </c>
      <c r="D42" s="5" t="s">
        <v>51</v>
      </c>
      <c r="E42" s="5" t="s">
        <v>53</v>
      </c>
      <c r="F42" s="6">
        <v>4744</v>
      </c>
      <c r="G42" s="6">
        <v>4425</v>
      </c>
      <c r="H42" s="6">
        <v>251</v>
      </c>
      <c r="I42" s="7">
        <f t="shared" si="4"/>
        <v>5.2908937605396292E-2</v>
      </c>
      <c r="J42" s="8">
        <v>39440.6</v>
      </c>
      <c r="K42" s="9">
        <f t="shared" si="5"/>
        <v>157.13386454183265</v>
      </c>
      <c r="L42" s="6">
        <v>41</v>
      </c>
      <c r="M42" s="9">
        <f t="shared" si="6"/>
        <v>961.9658536585365</v>
      </c>
      <c r="N42" s="8">
        <v>103814.39</v>
      </c>
      <c r="O42" s="10">
        <f t="shared" si="7"/>
        <v>2.6321706566330128</v>
      </c>
    </row>
    <row r="43" spans="1:15" x14ac:dyDescent="0.25">
      <c r="A43" s="11" t="s">
        <v>32</v>
      </c>
      <c r="B43" s="12">
        <v>2</v>
      </c>
      <c r="C43" s="12" t="s">
        <v>16</v>
      </c>
      <c r="D43" s="12" t="s">
        <v>51</v>
      </c>
      <c r="E43" s="12" t="s">
        <v>53</v>
      </c>
      <c r="F43" s="13">
        <v>4146</v>
      </c>
      <c r="G43" s="13">
        <v>3808</v>
      </c>
      <c r="H43" s="13">
        <v>223</v>
      </c>
      <c r="I43" s="14">
        <f t="shared" si="4"/>
        <v>5.37867824409069E-2</v>
      </c>
      <c r="J43" s="15">
        <v>34911.65</v>
      </c>
      <c r="K43" s="16">
        <f t="shared" si="5"/>
        <v>156.55448430493274</v>
      </c>
      <c r="L43" s="13">
        <v>33</v>
      </c>
      <c r="M43" s="16">
        <f t="shared" si="6"/>
        <v>1057.9287878787879</v>
      </c>
      <c r="N43" s="15">
        <v>87961</v>
      </c>
      <c r="O43" s="17">
        <f t="shared" si="7"/>
        <v>2.5195314458067721</v>
      </c>
    </row>
    <row r="44" spans="1:15" x14ac:dyDescent="0.25">
      <c r="A44" s="4" t="s">
        <v>33</v>
      </c>
      <c r="B44" s="5">
        <v>3</v>
      </c>
      <c r="C44" s="5" t="s">
        <v>34</v>
      </c>
      <c r="D44" s="5" t="s">
        <v>51</v>
      </c>
      <c r="E44" s="5" t="s">
        <v>54</v>
      </c>
      <c r="F44" s="6">
        <v>3970</v>
      </c>
      <c r="G44" s="6">
        <v>3692</v>
      </c>
      <c r="H44" s="6">
        <v>300</v>
      </c>
      <c r="I44" s="7">
        <f t="shared" si="4"/>
        <v>7.5566750629722929E-2</v>
      </c>
      <c r="J44" s="8">
        <v>31709.24</v>
      </c>
      <c r="K44" s="9">
        <f t="shared" si="5"/>
        <v>105.69746666666667</v>
      </c>
      <c r="L44" s="6">
        <v>57</v>
      </c>
      <c r="M44" s="9">
        <f t="shared" si="6"/>
        <v>556.30245614035096</v>
      </c>
      <c r="N44" s="8">
        <v>143127.81</v>
      </c>
      <c r="O44" s="10">
        <f t="shared" si="7"/>
        <v>4.5137571887563368</v>
      </c>
    </row>
    <row r="45" spans="1:15" x14ac:dyDescent="0.25">
      <c r="A45" s="11" t="s">
        <v>36</v>
      </c>
      <c r="B45" s="12">
        <v>3</v>
      </c>
      <c r="C45" s="12" t="s">
        <v>34</v>
      </c>
      <c r="D45" s="12" t="s">
        <v>51</v>
      </c>
      <c r="E45" s="12" t="s">
        <v>54</v>
      </c>
      <c r="F45" s="13">
        <v>4454</v>
      </c>
      <c r="G45" s="13">
        <v>4099</v>
      </c>
      <c r="H45" s="13">
        <v>319</v>
      </c>
      <c r="I45" s="14">
        <f t="shared" si="4"/>
        <v>7.1621014818140996E-2</v>
      </c>
      <c r="J45" s="15">
        <v>35918.5</v>
      </c>
      <c r="K45" s="16">
        <f t="shared" si="5"/>
        <v>112.59717868338558</v>
      </c>
      <c r="L45" s="13">
        <v>68</v>
      </c>
      <c r="M45" s="16">
        <f t="shared" si="6"/>
        <v>528.21323529411768</v>
      </c>
      <c r="N45" s="15">
        <v>179522.3</v>
      </c>
      <c r="O45" s="17">
        <f t="shared" si="7"/>
        <v>4.9980455753998632</v>
      </c>
    </row>
    <row r="46" spans="1:15" x14ac:dyDescent="0.25">
      <c r="A46" s="4" t="s">
        <v>37</v>
      </c>
      <c r="B46" s="5">
        <v>3</v>
      </c>
      <c r="C46" s="5" t="s">
        <v>34</v>
      </c>
      <c r="D46" s="5" t="s">
        <v>51</v>
      </c>
      <c r="E46" s="5" t="s">
        <v>54</v>
      </c>
      <c r="F46" s="6">
        <v>4771</v>
      </c>
      <c r="G46" s="6">
        <v>4420</v>
      </c>
      <c r="H46" s="6">
        <v>321</v>
      </c>
      <c r="I46" s="7">
        <f t="shared" si="4"/>
        <v>6.728149234961224E-2</v>
      </c>
      <c r="J46" s="8">
        <v>41812.89</v>
      </c>
      <c r="K46" s="9">
        <f t="shared" si="5"/>
        <v>130.25822429906543</v>
      </c>
      <c r="L46" s="6">
        <v>65</v>
      </c>
      <c r="M46" s="9">
        <f t="shared" si="6"/>
        <v>643.2752307692308</v>
      </c>
      <c r="N46" s="8">
        <v>176417.92000000001</v>
      </c>
      <c r="O46" s="10">
        <f t="shared" si="7"/>
        <v>4.2192233064971116</v>
      </c>
    </row>
    <row r="47" spans="1:15" x14ac:dyDescent="0.25">
      <c r="A47" s="11" t="s">
        <v>38</v>
      </c>
      <c r="B47" s="12">
        <v>3</v>
      </c>
      <c r="C47" s="12" t="s">
        <v>34</v>
      </c>
      <c r="D47" s="12" t="s">
        <v>51</v>
      </c>
      <c r="E47" s="12" t="s">
        <v>54</v>
      </c>
      <c r="F47" s="13">
        <v>4831</v>
      </c>
      <c r="G47" s="13">
        <v>4290</v>
      </c>
      <c r="H47" s="13">
        <v>312</v>
      </c>
      <c r="I47" s="14">
        <f t="shared" si="4"/>
        <v>6.458290209066446E-2</v>
      </c>
      <c r="J47" s="15">
        <v>41787.160000000003</v>
      </c>
      <c r="K47" s="16">
        <f t="shared" si="5"/>
        <v>133.93320512820515</v>
      </c>
      <c r="L47" s="13">
        <v>61</v>
      </c>
      <c r="M47" s="16">
        <f t="shared" si="6"/>
        <v>685.03540983606558</v>
      </c>
      <c r="N47" s="15">
        <v>154989.44</v>
      </c>
      <c r="O47" s="17">
        <f t="shared" si="7"/>
        <v>3.7090206656781648</v>
      </c>
    </row>
    <row r="48" spans="1:15" x14ac:dyDescent="0.25">
      <c r="A48" s="4" t="s">
        <v>39</v>
      </c>
      <c r="B48" s="5">
        <v>3</v>
      </c>
      <c r="C48" s="5" t="s">
        <v>34</v>
      </c>
      <c r="D48" s="5" t="s">
        <v>51</v>
      </c>
      <c r="E48" s="5" t="s">
        <v>54</v>
      </c>
      <c r="F48" s="6">
        <v>3846</v>
      </c>
      <c r="G48" s="6">
        <v>3542</v>
      </c>
      <c r="H48" s="6">
        <v>254</v>
      </c>
      <c r="I48" s="7">
        <f t="shared" si="4"/>
        <v>6.6042641705668231E-2</v>
      </c>
      <c r="J48" s="8">
        <v>31717.07</v>
      </c>
      <c r="K48" s="9">
        <f t="shared" si="5"/>
        <v>124.87035433070866</v>
      </c>
      <c r="L48" s="6">
        <v>51</v>
      </c>
      <c r="M48" s="9">
        <f t="shared" si="6"/>
        <v>621.90333333333331</v>
      </c>
      <c r="N48" s="8">
        <v>129470.43</v>
      </c>
      <c r="O48" s="10">
        <f t="shared" si="7"/>
        <v>4.0820425720282483</v>
      </c>
    </row>
    <row r="49" spans="1:15" x14ac:dyDescent="0.25">
      <c r="A49" s="11" t="s">
        <v>40</v>
      </c>
      <c r="B49" s="12">
        <v>3</v>
      </c>
      <c r="C49" s="12" t="s">
        <v>34</v>
      </c>
      <c r="D49" s="12" t="s">
        <v>51</v>
      </c>
      <c r="E49" s="12" t="s">
        <v>54</v>
      </c>
      <c r="F49" s="13">
        <v>3985</v>
      </c>
      <c r="G49" s="13">
        <v>3711</v>
      </c>
      <c r="H49" s="13">
        <v>299</v>
      </c>
      <c r="I49" s="14">
        <f t="shared" si="4"/>
        <v>7.5031367628607279E-2</v>
      </c>
      <c r="J49" s="15">
        <v>33243.61</v>
      </c>
      <c r="K49" s="16">
        <f t="shared" si="5"/>
        <v>111.18264214046823</v>
      </c>
      <c r="L49" s="13">
        <v>54</v>
      </c>
      <c r="M49" s="16">
        <f t="shared" si="6"/>
        <v>615.62240740740742</v>
      </c>
      <c r="N49" s="15">
        <v>139327</v>
      </c>
      <c r="O49" s="17">
        <f t="shared" si="7"/>
        <v>4.1910911600755751</v>
      </c>
    </row>
    <row r="50" spans="1:15" x14ac:dyDescent="0.25">
      <c r="A50" s="4" t="s">
        <v>41</v>
      </c>
      <c r="B50" s="5">
        <v>3</v>
      </c>
      <c r="C50" s="5" t="s">
        <v>34</v>
      </c>
      <c r="D50" s="5" t="s">
        <v>51</v>
      </c>
      <c r="E50" s="5" t="s">
        <v>54</v>
      </c>
      <c r="F50" s="6">
        <v>3967</v>
      </c>
      <c r="G50" s="6">
        <v>3499</v>
      </c>
      <c r="H50" s="6">
        <v>293</v>
      </c>
      <c r="I50" s="7">
        <f t="shared" si="4"/>
        <v>7.3859339551298211E-2</v>
      </c>
      <c r="J50" s="8">
        <v>33811.54</v>
      </c>
      <c r="K50" s="9">
        <f t="shared" si="5"/>
        <v>115.39774744027304</v>
      </c>
      <c r="L50" s="6">
        <v>59</v>
      </c>
      <c r="M50" s="9">
        <f t="shared" si="6"/>
        <v>573.0769491525424</v>
      </c>
      <c r="N50" s="8">
        <v>149748.39000000001</v>
      </c>
      <c r="O50" s="10">
        <f t="shared" si="7"/>
        <v>4.4289136194328922</v>
      </c>
    </row>
    <row r="51" spans="1:15" x14ac:dyDescent="0.25">
      <c r="A51" s="11" t="s">
        <v>42</v>
      </c>
      <c r="B51" s="12">
        <v>4</v>
      </c>
      <c r="C51" s="12" t="s">
        <v>43</v>
      </c>
      <c r="D51" s="12" t="s">
        <v>51</v>
      </c>
      <c r="E51" s="12" t="s">
        <v>55</v>
      </c>
      <c r="F51" s="13">
        <v>5518</v>
      </c>
      <c r="G51" s="13">
        <v>5117</v>
      </c>
      <c r="H51" s="13">
        <v>438</v>
      </c>
      <c r="I51" s="14">
        <f t="shared" si="4"/>
        <v>7.9376585719463572E-2</v>
      </c>
      <c r="J51" s="15">
        <v>45777.120000000003</v>
      </c>
      <c r="K51" s="16">
        <f t="shared" si="5"/>
        <v>104.51397260273973</v>
      </c>
      <c r="L51" s="13">
        <v>88</v>
      </c>
      <c r="M51" s="16">
        <f t="shared" si="6"/>
        <v>520.1945454545455</v>
      </c>
      <c r="N51" s="15">
        <v>220275.95</v>
      </c>
      <c r="O51" s="17">
        <f t="shared" si="7"/>
        <v>4.8119224188852421</v>
      </c>
    </row>
    <row r="52" spans="1:15" x14ac:dyDescent="0.25">
      <c r="A52" s="4" t="s">
        <v>45</v>
      </c>
      <c r="B52" s="5">
        <v>4</v>
      </c>
      <c r="C52" s="5" t="s">
        <v>43</v>
      </c>
      <c r="D52" s="5" t="s">
        <v>51</v>
      </c>
      <c r="E52" s="5" t="s">
        <v>55</v>
      </c>
      <c r="F52" s="6">
        <v>5102</v>
      </c>
      <c r="G52" s="6">
        <v>4749</v>
      </c>
      <c r="H52" s="6">
        <v>422</v>
      </c>
      <c r="I52" s="7">
        <f t="shared" si="4"/>
        <v>8.2712661701293613E-2</v>
      </c>
      <c r="J52" s="8">
        <v>43349.67</v>
      </c>
      <c r="K52" s="9">
        <f t="shared" si="5"/>
        <v>102.72433649289098</v>
      </c>
      <c r="L52" s="6">
        <v>98</v>
      </c>
      <c r="M52" s="9">
        <f t="shared" si="6"/>
        <v>442.34357142857141</v>
      </c>
      <c r="N52" s="8">
        <v>264964.59999999998</v>
      </c>
      <c r="O52" s="10">
        <f t="shared" si="7"/>
        <v>6.1122633690175725</v>
      </c>
    </row>
    <row r="53" spans="1:15" x14ac:dyDescent="0.25">
      <c r="A53" s="11" t="s">
        <v>46</v>
      </c>
      <c r="B53" s="12">
        <v>4</v>
      </c>
      <c r="C53" s="12" t="s">
        <v>43</v>
      </c>
      <c r="D53" s="12" t="s">
        <v>51</v>
      </c>
      <c r="E53" s="12" t="s">
        <v>55</v>
      </c>
      <c r="F53" s="13">
        <v>4866</v>
      </c>
      <c r="G53" s="13">
        <v>4357</v>
      </c>
      <c r="H53" s="13">
        <v>350</v>
      </c>
      <c r="I53" s="14">
        <f t="shared" si="4"/>
        <v>7.1927661323468964E-2</v>
      </c>
      <c r="J53" s="15">
        <v>41761.760000000002</v>
      </c>
      <c r="K53" s="16">
        <f t="shared" si="5"/>
        <v>119.31931428571428</v>
      </c>
      <c r="L53" s="13">
        <v>80</v>
      </c>
      <c r="M53" s="16">
        <f t="shared" si="6"/>
        <v>522.02200000000005</v>
      </c>
      <c r="N53" s="15">
        <v>215990</v>
      </c>
      <c r="O53" s="17">
        <f t="shared" si="7"/>
        <v>5.1719563543298941</v>
      </c>
    </row>
    <row r="54" spans="1:15" x14ac:dyDescent="0.25">
      <c r="A54" s="4" t="s">
        <v>47</v>
      </c>
      <c r="B54" s="5">
        <v>4</v>
      </c>
      <c r="C54" s="5" t="s">
        <v>43</v>
      </c>
      <c r="D54" s="5" t="s">
        <v>51</v>
      </c>
      <c r="E54" s="5" t="s">
        <v>55</v>
      </c>
      <c r="F54" s="6">
        <v>4328</v>
      </c>
      <c r="G54" s="6">
        <v>3963</v>
      </c>
      <c r="H54" s="6">
        <v>315</v>
      </c>
      <c r="I54" s="7">
        <f t="shared" si="4"/>
        <v>7.2781885397412205E-2</v>
      </c>
      <c r="J54" s="8">
        <v>36408.49</v>
      </c>
      <c r="K54" s="9">
        <f t="shared" si="5"/>
        <v>115.58250793650792</v>
      </c>
      <c r="L54" s="6">
        <v>74</v>
      </c>
      <c r="M54" s="9">
        <f t="shared" si="6"/>
        <v>492.0066216216216</v>
      </c>
      <c r="N54" s="8">
        <v>199415.01</v>
      </c>
      <c r="O54" s="10">
        <f t="shared" si="7"/>
        <v>5.4771568389680541</v>
      </c>
    </row>
    <row r="55" spans="1:15" x14ac:dyDescent="0.25">
      <c r="A55" s="11" t="s">
        <v>48</v>
      </c>
      <c r="B55" s="12">
        <v>4</v>
      </c>
      <c r="C55" s="12" t="s">
        <v>43</v>
      </c>
      <c r="D55" s="12" t="s">
        <v>51</v>
      </c>
      <c r="E55" s="12" t="s">
        <v>55</v>
      </c>
      <c r="F55" s="13">
        <v>4683</v>
      </c>
      <c r="G55" s="13">
        <v>4337</v>
      </c>
      <c r="H55" s="13">
        <v>394</v>
      </c>
      <c r="I55" s="14">
        <f t="shared" si="4"/>
        <v>8.4134102071321798E-2</v>
      </c>
      <c r="J55" s="15">
        <v>37248.26</v>
      </c>
      <c r="K55" s="16">
        <f t="shared" si="5"/>
        <v>94.538730964467007</v>
      </c>
      <c r="L55" s="13">
        <v>77</v>
      </c>
      <c r="M55" s="16">
        <f t="shared" si="6"/>
        <v>483.74363636363637</v>
      </c>
      <c r="N55" s="15">
        <v>204936.02</v>
      </c>
      <c r="O55" s="17">
        <f t="shared" si="7"/>
        <v>5.5018951220808701</v>
      </c>
    </row>
    <row r="56" spans="1:15" x14ac:dyDescent="0.25">
      <c r="A56" s="4" t="s">
        <v>49</v>
      </c>
      <c r="B56" s="5">
        <v>4</v>
      </c>
      <c r="C56" s="5" t="s">
        <v>43</v>
      </c>
      <c r="D56" s="5" t="s">
        <v>51</v>
      </c>
      <c r="E56" s="5" t="s">
        <v>55</v>
      </c>
      <c r="F56" s="6">
        <v>5615</v>
      </c>
      <c r="G56" s="6">
        <v>5236</v>
      </c>
      <c r="H56" s="6">
        <v>465</v>
      </c>
      <c r="I56" s="7">
        <f t="shared" si="4"/>
        <v>8.2813891362422079E-2</v>
      </c>
      <c r="J56" s="8">
        <v>47594.02</v>
      </c>
      <c r="K56" s="9">
        <f t="shared" si="5"/>
        <v>102.35273118279569</v>
      </c>
      <c r="L56" s="6">
        <v>108</v>
      </c>
      <c r="M56" s="9">
        <f t="shared" si="6"/>
        <v>440.68537037037032</v>
      </c>
      <c r="N56" s="8">
        <v>289525.84000000003</v>
      </c>
      <c r="O56" s="10">
        <f t="shared" si="7"/>
        <v>6.0832398692104608</v>
      </c>
    </row>
    <row r="57" spans="1:15" x14ac:dyDescent="0.25">
      <c r="A57" s="11" t="s">
        <v>50</v>
      </c>
      <c r="B57" s="12">
        <v>4</v>
      </c>
      <c r="C57" s="12" t="s">
        <v>43</v>
      </c>
      <c r="D57" s="12" t="s">
        <v>51</v>
      </c>
      <c r="E57" s="12" t="s">
        <v>55</v>
      </c>
      <c r="F57" s="13">
        <v>5609</v>
      </c>
      <c r="G57" s="13">
        <v>5187</v>
      </c>
      <c r="H57" s="13">
        <v>404</v>
      </c>
      <c r="I57" s="14">
        <f t="shared" si="4"/>
        <v>7.2027099304688896E-2</v>
      </c>
      <c r="J57" s="15">
        <v>47860.68</v>
      </c>
      <c r="K57" s="16">
        <f t="shared" si="5"/>
        <v>118.46702970297029</v>
      </c>
      <c r="L57" s="13">
        <v>94</v>
      </c>
      <c r="M57" s="16">
        <f t="shared" si="6"/>
        <v>509.15617021276597</v>
      </c>
      <c r="N57" s="15">
        <v>253164.02</v>
      </c>
      <c r="O57" s="17">
        <f t="shared" si="7"/>
        <v>5.2896034907987097</v>
      </c>
    </row>
    <row r="58" spans="1:15" x14ac:dyDescent="0.25">
      <c r="A58" s="4" t="s">
        <v>15</v>
      </c>
      <c r="B58" s="5">
        <v>1</v>
      </c>
      <c r="C58" s="5" t="s">
        <v>16</v>
      </c>
      <c r="D58" s="5" t="s">
        <v>56</v>
      </c>
      <c r="E58" s="5" t="s">
        <v>57</v>
      </c>
      <c r="F58" s="6">
        <v>14363</v>
      </c>
      <c r="G58" s="6">
        <v>5077</v>
      </c>
      <c r="H58" s="6">
        <v>178</v>
      </c>
      <c r="I58" s="7">
        <f t="shared" si="4"/>
        <v>1.2392954118220428E-2</v>
      </c>
      <c r="J58" s="8">
        <v>13470.75</v>
      </c>
      <c r="K58" s="9">
        <f t="shared" si="5"/>
        <v>75.678370786516851</v>
      </c>
      <c r="L58" s="6">
        <v>7</v>
      </c>
      <c r="M58" s="9">
        <f t="shared" si="6"/>
        <v>1924.3928571428571</v>
      </c>
      <c r="N58" s="8">
        <v>17798.009999999998</v>
      </c>
      <c r="O58" s="10">
        <f t="shared" si="7"/>
        <v>1.3212337843104502</v>
      </c>
    </row>
    <row r="59" spans="1:15" x14ac:dyDescent="0.25">
      <c r="A59" s="11" t="s">
        <v>19</v>
      </c>
      <c r="B59" s="12">
        <v>1</v>
      </c>
      <c r="C59" s="12" t="s">
        <v>16</v>
      </c>
      <c r="D59" s="12" t="s">
        <v>56</v>
      </c>
      <c r="E59" s="12" t="s">
        <v>57</v>
      </c>
      <c r="F59" s="13">
        <v>17949</v>
      </c>
      <c r="G59" s="13">
        <v>6372</v>
      </c>
      <c r="H59" s="13">
        <v>227</v>
      </c>
      <c r="I59" s="14">
        <f t="shared" si="4"/>
        <v>1.2646944119449551E-2</v>
      </c>
      <c r="J59" s="15">
        <v>16089.96</v>
      </c>
      <c r="K59" s="16">
        <f t="shared" si="5"/>
        <v>70.880881057268724</v>
      </c>
      <c r="L59" s="13">
        <v>9</v>
      </c>
      <c r="M59" s="16">
        <f t="shared" si="6"/>
        <v>1787.7733333333333</v>
      </c>
      <c r="N59" s="15">
        <v>24427.81</v>
      </c>
      <c r="O59" s="17">
        <f t="shared" si="7"/>
        <v>1.5182020340634783</v>
      </c>
    </row>
    <row r="60" spans="1:15" x14ac:dyDescent="0.25">
      <c r="A60" s="4" t="s">
        <v>20</v>
      </c>
      <c r="B60" s="5">
        <v>1</v>
      </c>
      <c r="C60" s="5" t="s">
        <v>16</v>
      </c>
      <c r="D60" s="5" t="s">
        <v>56</v>
      </c>
      <c r="E60" s="5" t="s">
        <v>57</v>
      </c>
      <c r="F60" s="6">
        <v>15357</v>
      </c>
      <c r="G60" s="6">
        <v>5639</v>
      </c>
      <c r="H60" s="6">
        <v>166</v>
      </c>
      <c r="I60" s="7">
        <f t="shared" si="4"/>
        <v>1.0809402878166308E-2</v>
      </c>
      <c r="J60" s="8">
        <v>14519.36</v>
      </c>
      <c r="K60" s="9">
        <f t="shared" si="5"/>
        <v>87.466024096385539</v>
      </c>
      <c r="L60" s="6">
        <v>7</v>
      </c>
      <c r="M60" s="9">
        <f t="shared" si="6"/>
        <v>2074.1942857142858</v>
      </c>
      <c r="N60" s="8">
        <v>17773.150000000001</v>
      </c>
      <c r="O60" s="10">
        <f t="shared" si="7"/>
        <v>1.2241000980759482</v>
      </c>
    </row>
    <row r="61" spans="1:15" x14ac:dyDescent="0.25">
      <c r="A61" s="11" t="s">
        <v>21</v>
      </c>
      <c r="B61" s="12">
        <v>1</v>
      </c>
      <c r="C61" s="12" t="s">
        <v>16</v>
      </c>
      <c r="D61" s="12" t="s">
        <v>56</v>
      </c>
      <c r="E61" s="12" t="s">
        <v>57</v>
      </c>
      <c r="F61" s="13">
        <v>14623</v>
      </c>
      <c r="G61" s="13">
        <v>5202</v>
      </c>
      <c r="H61" s="13">
        <v>177</v>
      </c>
      <c r="I61" s="14">
        <f t="shared" si="4"/>
        <v>1.2104219380428093E-2</v>
      </c>
      <c r="J61" s="15">
        <v>13835.57</v>
      </c>
      <c r="K61" s="16">
        <f t="shared" si="5"/>
        <v>78.167062146892647</v>
      </c>
      <c r="L61" s="13">
        <v>6</v>
      </c>
      <c r="M61" s="16">
        <f t="shared" si="6"/>
        <v>2305.9283333333333</v>
      </c>
      <c r="N61" s="15">
        <v>15765.69</v>
      </c>
      <c r="O61" s="17">
        <f t="shared" si="7"/>
        <v>1.1395041910091164</v>
      </c>
    </row>
    <row r="62" spans="1:15" x14ac:dyDescent="0.25">
      <c r="A62" s="4" t="s">
        <v>22</v>
      </c>
      <c r="B62" s="5">
        <v>1</v>
      </c>
      <c r="C62" s="5" t="s">
        <v>16</v>
      </c>
      <c r="D62" s="5" t="s">
        <v>56</v>
      </c>
      <c r="E62" s="5" t="s">
        <v>57</v>
      </c>
      <c r="F62" s="6">
        <v>17616</v>
      </c>
      <c r="G62" s="6">
        <v>6248</v>
      </c>
      <c r="H62" s="6">
        <v>207</v>
      </c>
      <c r="I62" s="7">
        <f t="shared" si="4"/>
        <v>1.1750681198910082E-2</v>
      </c>
      <c r="J62" s="8">
        <v>15996.32</v>
      </c>
      <c r="K62" s="9">
        <f t="shared" si="5"/>
        <v>77.276908212560386</v>
      </c>
      <c r="L62" s="6">
        <v>7</v>
      </c>
      <c r="M62" s="9">
        <f t="shared" si="6"/>
        <v>2285.1885714285713</v>
      </c>
      <c r="N62" s="8">
        <v>18579.990000000002</v>
      </c>
      <c r="O62" s="10">
        <f t="shared" si="7"/>
        <v>1.1615165238004743</v>
      </c>
    </row>
    <row r="63" spans="1:15" x14ac:dyDescent="0.25">
      <c r="A63" s="11" t="s">
        <v>23</v>
      </c>
      <c r="B63" s="12">
        <v>1</v>
      </c>
      <c r="C63" s="12" t="s">
        <v>16</v>
      </c>
      <c r="D63" s="12" t="s">
        <v>56</v>
      </c>
      <c r="E63" s="12" t="s">
        <v>57</v>
      </c>
      <c r="F63" s="13">
        <v>14103</v>
      </c>
      <c r="G63" s="13">
        <v>5165</v>
      </c>
      <c r="H63" s="13">
        <v>164</v>
      </c>
      <c r="I63" s="14">
        <f t="shared" si="4"/>
        <v>1.1628731475572572E-2</v>
      </c>
      <c r="J63" s="15">
        <v>13493.51</v>
      </c>
      <c r="K63" s="16">
        <f t="shared" si="5"/>
        <v>82.277500000000003</v>
      </c>
      <c r="L63" s="13">
        <v>6</v>
      </c>
      <c r="M63" s="16">
        <f t="shared" si="6"/>
        <v>2248.9183333333335</v>
      </c>
      <c r="N63" s="15">
        <v>15977.44</v>
      </c>
      <c r="O63" s="17">
        <f t="shared" si="7"/>
        <v>1.1840833111621809</v>
      </c>
    </row>
    <row r="64" spans="1:15" x14ac:dyDescent="0.25">
      <c r="A64" s="4" t="s">
        <v>24</v>
      </c>
      <c r="B64" s="5">
        <v>1</v>
      </c>
      <c r="C64" s="5" t="s">
        <v>16</v>
      </c>
      <c r="D64" s="5" t="s">
        <v>56</v>
      </c>
      <c r="E64" s="5" t="s">
        <v>57</v>
      </c>
      <c r="F64" s="6">
        <v>14090</v>
      </c>
      <c r="G64" s="6">
        <v>4991</v>
      </c>
      <c r="H64" s="6">
        <v>149</v>
      </c>
      <c r="I64" s="7">
        <f t="shared" si="4"/>
        <v>1.057487579843861E-2</v>
      </c>
      <c r="J64" s="8">
        <v>12594.52</v>
      </c>
      <c r="K64" s="9">
        <f t="shared" si="5"/>
        <v>84.526979865771821</v>
      </c>
      <c r="L64" s="6">
        <v>6</v>
      </c>
      <c r="M64" s="9">
        <f t="shared" si="6"/>
        <v>2099.0866666666666</v>
      </c>
      <c r="N64" s="8">
        <v>15335.11</v>
      </c>
      <c r="O64" s="10">
        <f t="shared" si="7"/>
        <v>1.2176017823624878</v>
      </c>
    </row>
    <row r="65" spans="1:15" x14ac:dyDescent="0.25">
      <c r="A65" s="11" t="s">
        <v>25</v>
      </c>
      <c r="B65" s="12">
        <v>2</v>
      </c>
      <c r="C65" s="12" t="s">
        <v>16</v>
      </c>
      <c r="D65" s="12" t="s">
        <v>56</v>
      </c>
      <c r="E65" s="12" t="s">
        <v>58</v>
      </c>
      <c r="F65" s="13">
        <v>18323</v>
      </c>
      <c r="G65" s="13">
        <v>6398</v>
      </c>
      <c r="H65" s="13">
        <v>234</v>
      </c>
      <c r="I65" s="14">
        <f t="shared" si="4"/>
        <v>1.2770834470337826E-2</v>
      </c>
      <c r="J65" s="15">
        <v>17004.5</v>
      </c>
      <c r="K65" s="16">
        <f t="shared" si="5"/>
        <v>72.668803418803421</v>
      </c>
      <c r="L65" s="13">
        <v>11</v>
      </c>
      <c r="M65" s="16">
        <f t="shared" si="6"/>
        <v>1545.8636363636363</v>
      </c>
      <c r="N65" s="15">
        <v>29107.13</v>
      </c>
      <c r="O65" s="17">
        <f t="shared" si="7"/>
        <v>1.7117310123790761</v>
      </c>
    </row>
    <row r="66" spans="1:15" x14ac:dyDescent="0.25">
      <c r="A66" s="4" t="s">
        <v>27</v>
      </c>
      <c r="B66" s="5">
        <v>2</v>
      </c>
      <c r="C66" s="5" t="s">
        <v>16</v>
      </c>
      <c r="D66" s="5" t="s">
        <v>56</v>
      </c>
      <c r="E66" s="5" t="s">
        <v>58</v>
      </c>
      <c r="F66" s="6">
        <v>22761</v>
      </c>
      <c r="G66" s="6">
        <v>8185</v>
      </c>
      <c r="H66" s="6">
        <v>283</v>
      </c>
      <c r="I66" s="7">
        <f t="shared" ref="I66:I97" si="8">IFERROR(H66/F66,0)</f>
        <v>1.2433548613857036E-2</v>
      </c>
      <c r="J66" s="8">
        <v>19890.22</v>
      </c>
      <c r="K66" s="9">
        <f t="shared" ref="K66:K97" si="9">IFERROR(J66/H66,0)</f>
        <v>70.283462897526505</v>
      </c>
      <c r="L66" s="6">
        <v>12</v>
      </c>
      <c r="M66" s="9">
        <f t="shared" ref="M66:M97" si="10">IFERROR(J66/L66,0)</f>
        <v>1657.5183333333334</v>
      </c>
      <c r="N66" s="8">
        <v>29641.27</v>
      </c>
      <c r="O66" s="10">
        <f t="shared" ref="O66:O97" si="11">IFERROR(N66/J66,0)</f>
        <v>1.4902434462766123</v>
      </c>
    </row>
    <row r="67" spans="1:15" x14ac:dyDescent="0.25">
      <c r="A67" s="11" t="s">
        <v>28</v>
      </c>
      <c r="B67" s="12">
        <v>2</v>
      </c>
      <c r="C67" s="12" t="s">
        <v>16</v>
      </c>
      <c r="D67" s="12" t="s">
        <v>56</v>
      </c>
      <c r="E67" s="12" t="s">
        <v>58</v>
      </c>
      <c r="F67" s="13">
        <v>20667</v>
      </c>
      <c r="G67" s="13">
        <v>7350</v>
      </c>
      <c r="H67" s="13">
        <v>272</v>
      </c>
      <c r="I67" s="14">
        <f t="shared" si="8"/>
        <v>1.3161078047128271E-2</v>
      </c>
      <c r="J67" s="15">
        <v>19197.23</v>
      </c>
      <c r="K67" s="16">
        <f t="shared" si="9"/>
        <v>70.578051470588235</v>
      </c>
      <c r="L67" s="13">
        <v>12</v>
      </c>
      <c r="M67" s="16">
        <f t="shared" si="10"/>
        <v>1599.7691666666667</v>
      </c>
      <c r="N67" s="15">
        <v>31090.76</v>
      </c>
      <c r="O67" s="17">
        <f t="shared" si="11"/>
        <v>1.6195440696392136</v>
      </c>
    </row>
    <row r="68" spans="1:15" x14ac:dyDescent="0.25">
      <c r="A68" s="4" t="s">
        <v>29</v>
      </c>
      <c r="B68" s="5">
        <v>2</v>
      </c>
      <c r="C68" s="5" t="s">
        <v>16</v>
      </c>
      <c r="D68" s="5" t="s">
        <v>56</v>
      </c>
      <c r="E68" s="5" t="s">
        <v>58</v>
      </c>
      <c r="F68" s="6">
        <v>18516</v>
      </c>
      <c r="G68" s="6">
        <v>6499</v>
      </c>
      <c r="H68" s="6">
        <v>239</v>
      </c>
      <c r="I68" s="7">
        <f t="shared" si="8"/>
        <v>1.2907755454741845E-2</v>
      </c>
      <c r="J68" s="8">
        <v>16931.05</v>
      </c>
      <c r="K68" s="9">
        <f t="shared" si="9"/>
        <v>70.841213389121336</v>
      </c>
      <c r="L68" s="6">
        <v>11</v>
      </c>
      <c r="M68" s="9">
        <f t="shared" si="10"/>
        <v>1539.1863636363635</v>
      </c>
      <c r="N68" s="8">
        <v>29446.63</v>
      </c>
      <c r="O68" s="10">
        <f t="shared" si="11"/>
        <v>1.7392087318860912</v>
      </c>
    </row>
    <row r="69" spans="1:15" x14ac:dyDescent="0.25">
      <c r="A69" s="11" t="s">
        <v>30</v>
      </c>
      <c r="B69" s="12">
        <v>2</v>
      </c>
      <c r="C69" s="12" t="s">
        <v>16</v>
      </c>
      <c r="D69" s="12" t="s">
        <v>56</v>
      </c>
      <c r="E69" s="12" t="s">
        <v>58</v>
      </c>
      <c r="F69" s="13">
        <v>18061</v>
      </c>
      <c r="G69" s="13">
        <v>6290</v>
      </c>
      <c r="H69" s="13">
        <v>235</v>
      </c>
      <c r="I69" s="14">
        <f t="shared" si="8"/>
        <v>1.3011461159404242E-2</v>
      </c>
      <c r="J69" s="15">
        <v>16979.47</v>
      </c>
      <c r="K69" s="16">
        <f t="shared" si="9"/>
        <v>72.253063829787237</v>
      </c>
      <c r="L69" s="13">
        <v>10</v>
      </c>
      <c r="M69" s="16">
        <f t="shared" si="10"/>
        <v>1697.9470000000001</v>
      </c>
      <c r="N69" s="15">
        <v>25571.49</v>
      </c>
      <c r="O69" s="17">
        <f t="shared" si="11"/>
        <v>1.5060240396196112</v>
      </c>
    </row>
    <row r="70" spans="1:15" x14ac:dyDescent="0.25">
      <c r="A70" s="4" t="s">
        <v>31</v>
      </c>
      <c r="B70" s="5">
        <v>2</v>
      </c>
      <c r="C70" s="5" t="s">
        <v>16</v>
      </c>
      <c r="D70" s="5" t="s">
        <v>56</v>
      </c>
      <c r="E70" s="5" t="s">
        <v>58</v>
      </c>
      <c r="F70" s="6">
        <v>19880</v>
      </c>
      <c r="G70" s="6">
        <v>7207</v>
      </c>
      <c r="H70" s="6">
        <v>266</v>
      </c>
      <c r="I70" s="7">
        <f t="shared" si="8"/>
        <v>1.3380281690140845E-2</v>
      </c>
      <c r="J70" s="8">
        <v>17514.95</v>
      </c>
      <c r="K70" s="9">
        <f t="shared" si="9"/>
        <v>65.845676691729324</v>
      </c>
      <c r="L70" s="6">
        <v>11</v>
      </c>
      <c r="M70" s="9">
        <f t="shared" si="10"/>
        <v>1592.2681818181818</v>
      </c>
      <c r="N70" s="8">
        <v>27739.51</v>
      </c>
      <c r="O70" s="10">
        <f t="shared" si="11"/>
        <v>1.5837618720007762</v>
      </c>
    </row>
    <row r="71" spans="1:15" x14ac:dyDescent="0.25">
      <c r="A71" s="11" t="s">
        <v>32</v>
      </c>
      <c r="B71" s="12">
        <v>2</v>
      </c>
      <c r="C71" s="12" t="s">
        <v>16</v>
      </c>
      <c r="D71" s="12" t="s">
        <v>56</v>
      </c>
      <c r="E71" s="12" t="s">
        <v>58</v>
      </c>
      <c r="F71" s="13">
        <v>18316</v>
      </c>
      <c r="G71" s="13">
        <v>6441</v>
      </c>
      <c r="H71" s="13">
        <v>236</v>
      </c>
      <c r="I71" s="14">
        <f t="shared" si="8"/>
        <v>1.288490936885783E-2</v>
      </c>
      <c r="J71" s="15">
        <v>17482.580000000002</v>
      </c>
      <c r="K71" s="16">
        <f t="shared" si="9"/>
        <v>74.078728813559323</v>
      </c>
      <c r="L71" s="13">
        <v>11</v>
      </c>
      <c r="M71" s="16">
        <f t="shared" si="10"/>
        <v>1589.3254545454547</v>
      </c>
      <c r="N71" s="15">
        <v>27378.29</v>
      </c>
      <c r="O71" s="17">
        <f t="shared" si="11"/>
        <v>1.5660325878674657</v>
      </c>
    </row>
    <row r="72" spans="1:15" x14ac:dyDescent="0.25">
      <c r="A72" s="4" t="s">
        <v>33</v>
      </c>
      <c r="B72" s="5">
        <v>3</v>
      </c>
      <c r="C72" s="5" t="s">
        <v>34</v>
      </c>
      <c r="D72" s="5" t="s">
        <v>56</v>
      </c>
      <c r="E72" s="5" t="s">
        <v>59</v>
      </c>
      <c r="F72" s="6">
        <v>18326</v>
      </c>
      <c r="G72" s="6">
        <v>6644</v>
      </c>
      <c r="H72" s="6">
        <v>313</v>
      </c>
      <c r="I72" s="7">
        <f t="shared" si="8"/>
        <v>1.7079559096365819E-2</v>
      </c>
      <c r="J72" s="8">
        <v>17526.93</v>
      </c>
      <c r="K72" s="9">
        <f t="shared" si="9"/>
        <v>55.996581469648561</v>
      </c>
      <c r="L72" s="6">
        <v>15</v>
      </c>
      <c r="M72" s="9">
        <f t="shared" si="10"/>
        <v>1168.462</v>
      </c>
      <c r="N72" s="8">
        <v>38708.07</v>
      </c>
      <c r="O72" s="10">
        <f t="shared" si="11"/>
        <v>2.2084911618863088</v>
      </c>
    </row>
    <row r="73" spans="1:15" x14ac:dyDescent="0.25">
      <c r="A73" s="11" t="s">
        <v>36</v>
      </c>
      <c r="B73" s="12">
        <v>3</v>
      </c>
      <c r="C73" s="12" t="s">
        <v>34</v>
      </c>
      <c r="D73" s="12" t="s">
        <v>56</v>
      </c>
      <c r="E73" s="12" t="s">
        <v>59</v>
      </c>
      <c r="F73" s="13">
        <v>19892</v>
      </c>
      <c r="G73" s="13">
        <v>7299</v>
      </c>
      <c r="H73" s="13">
        <v>323</v>
      </c>
      <c r="I73" s="14">
        <f t="shared" si="8"/>
        <v>1.6237683490850592E-2</v>
      </c>
      <c r="J73" s="15">
        <v>18688.95</v>
      </c>
      <c r="K73" s="16">
        <f t="shared" si="9"/>
        <v>57.860526315789478</v>
      </c>
      <c r="L73" s="13">
        <v>15</v>
      </c>
      <c r="M73" s="16">
        <f t="shared" si="10"/>
        <v>1245.93</v>
      </c>
      <c r="N73" s="15">
        <v>38021.870000000003</v>
      </c>
      <c r="O73" s="17">
        <f t="shared" si="11"/>
        <v>2.0344572595036103</v>
      </c>
    </row>
    <row r="74" spans="1:15" x14ac:dyDescent="0.25">
      <c r="A74" s="4" t="s">
        <v>37</v>
      </c>
      <c r="B74" s="5">
        <v>3</v>
      </c>
      <c r="C74" s="5" t="s">
        <v>34</v>
      </c>
      <c r="D74" s="5" t="s">
        <v>56</v>
      </c>
      <c r="E74" s="5" t="s">
        <v>59</v>
      </c>
      <c r="F74" s="6">
        <v>18600</v>
      </c>
      <c r="G74" s="6">
        <v>6626</v>
      </c>
      <c r="H74" s="6">
        <v>319</v>
      </c>
      <c r="I74" s="7">
        <f t="shared" si="8"/>
        <v>1.7150537634408602E-2</v>
      </c>
      <c r="J74" s="8">
        <v>16339.64</v>
      </c>
      <c r="K74" s="9">
        <f t="shared" si="9"/>
        <v>51.221442006269591</v>
      </c>
      <c r="L74" s="6">
        <v>17</v>
      </c>
      <c r="M74" s="9">
        <f t="shared" si="10"/>
        <v>961.15529411764703</v>
      </c>
      <c r="N74" s="8">
        <v>46356.480000000003</v>
      </c>
      <c r="O74" s="10">
        <f t="shared" si="11"/>
        <v>2.8370563855752029</v>
      </c>
    </row>
    <row r="75" spans="1:15" x14ac:dyDescent="0.25">
      <c r="A75" s="11" t="s">
        <v>38</v>
      </c>
      <c r="B75" s="12">
        <v>3</v>
      </c>
      <c r="C75" s="12" t="s">
        <v>34</v>
      </c>
      <c r="D75" s="12" t="s">
        <v>56</v>
      </c>
      <c r="E75" s="12" t="s">
        <v>59</v>
      </c>
      <c r="F75" s="13">
        <v>21153</v>
      </c>
      <c r="G75" s="13">
        <v>7759</v>
      </c>
      <c r="H75" s="13">
        <v>369</v>
      </c>
      <c r="I75" s="14">
        <f t="shared" si="8"/>
        <v>1.7444334137001843E-2</v>
      </c>
      <c r="J75" s="15">
        <v>19048.3</v>
      </c>
      <c r="K75" s="16">
        <f t="shared" si="9"/>
        <v>51.621409214092139</v>
      </c>
      <c r="L75" s="13">
        <v>20</v>
      </c>
      <c r="M75" s="16">
        <f t="shared" si="10"/>
        <v>952.41499999999996</v>
      </c>
      <c r="N75" s="15">
        <v>53140.22</v>
      </c>
      <c r="O75" s="17">
        <f t="shared" si="11"/>
        <v>2.7897618160150777</v>
      </c>
    </row>
    <row r="76" spans="1:15" x14ac:dyDescent="0.25">
      <c r="A76" s="4" t="s">
        <v>39</v>
      </c>
      <c r="B76" s="5">
        <v>3</v>
      </c>
      <c r="C76" s="5" t="s">
        <v>34</v>
      </c>
      <c r="D76" s="5" t="s">
        <v>56</v>
      </c>
      <c r="E76" s="5" t="s">
        <v>59</v>
      </c>
      <c r="F76" s="6">
        <v>19764</v>
      </c>
      <c r="G76" s="6">
        <v>7199</v>
      </c>
      <c r="H76" s="6">
        <v>323</v>
      </c>
      <c r="I76" s="7">
        <f t="shared" si="8"/>
        <v>1.6342845577818257E-2</v>
      </c>
      <c r="J76" s="8">
        <v>17958.310000000001</v>
      </c>
      <c r="K76" s="9">
        <f t="shared" si="9"/>
        <v>55.598482972136225</v>
      </c>
      <c r="L76" s="6">
        <v>18</v>
      </c>
      <c r="M76" s="9">
        <f t="shared" si="10"/>
        <v>997.68388888888899</v>
      </c>
      <c r="N76" s="8">
        <v>47940.31</v>
      </c>
      <c r="O76" s="10">
        <f t="shared" si="11"/>
        <v>2.6695334917372513</v>
      </c>
    </row>
    <row r="77" spans="1:15" x14ac:dyDescent="0.25">
      <c r="A77" s="11" t="s">
        <v>40</v>
      </c>
      <c r="B77" s="12">
        <v>3</v>
      </c>
      <c r="C77" s="12" t="s">
        <v>34</v>
      </c>
      <c r="D77" s="12" t="s">
        <v>56</v>
      </c>
      <c r="E77" s="12" t="s">
        <v>59</v>
      </c>
      <c r="F77" s="13">
        <v>18221</v>
      </c>
      <c r="G77" s="13">
        <v>6413</v>
      </c>
      <c r="H77" s="13">
        <v>280</v>
      </c>
      <c r="I77" s="14">
        <f t="shared" si="8"/>
        <v>1.5366884364195159E-2</v>
      </c>
      <c r="J77" s="15">
        <v>16607.04</v>
      </c>
      <c r="K77" s="16">
        <f t="shared" si="9"/>
        <v>59.310857142857145</v>
      </c>
      <c r="L77" s="13">
        <v>15</v>
      </c>
      <c r="M77" s="16">
        <f t="shared" si="10"/>
        <v>1107.136</v>
      </c>
      <c r="N77" s="15">
        <v>40036.67</v>
      </c>
      <c r="O77" s="17">
        <f t="shared" si="11"/>
        <v>2.410825168121471</v>
      </c>
    </row>
    <row r="78" spans="1:15" x14ac:dyDescent="0.25">
      <c r="A78" s="4" t="s">
        <v>41</v>
      </c>
      <c r="B78" s="5">
        <v>3</v>
      </c>
      <c r="C78" s="5" t="s">
        <v>34</v>
      </c>
      <c r="D78" s="5" t="s">
        <v>56</v>
      </c>
      <c r="E78" s="5" t="s">
        <v>59</v>
      </c>
      <c r="F78" s="6">
        <v>20758</v>
      </c>
      <c r="G78" s="6">
        <v>7470</v>
      </c>
      <c r="H78" s="6">
        <v>321</v>
      </c>
      <c r="I78" s="7">
        <f t="shared" si="8"/>
        <v>1.5463917525773196E-2</v>
      </c>
      <c r="J78" s="8">
        <v>18830.84</v>
      </c>
      <c r="K78" s="9">
        <f t="shared" si="9"/>
        <v>58.663052959501556</v>
      </c>
      <c r="L78" s="6">
        <v>15</v>
      </c>
      <c r="M78" s="9">
        <f t="shared" si="10"/>
        <v>1255.3893333333333</v>
      </c>
      <c r="N78" s="8">
        <v>38164.339999999997</v>
      </c>
      <c r="O78" s="10">
        <f t="shared" si="11"/>
        <v>2.0266934454331298</v>
      </c>
    </row>
    <row r="79" spans="1:15" x14ac:dyDescent="0.25">
      <c r="A79" s="11" t="s">
        <v>42</v>
      </c>
      <c r="B79" s="12">
        <v>4</v>
      </c>
      <c r="C79" s="12" t="s">
        <v>43</v>
      </c>
      <c r="D79" s="12" t="s">
        <v>56</v>
      </c>
      <c r="E79" s="12" t="s">
        <v>60</v>
      </c>
      <c r="F79" s="13">
        <v>21553</v>
      </c>
      <c r="G79" s="13">
        <v>7655</v>
      </c>
      <c r="H79" s="13">
        <v>392</v>
      </c>
      <c r="I79" s="14">
        <f t="shared" si="8"/>
        <v>1.8187723286781421E-2</v>
      </c>
      <c r="J79" s="15">
        <v>20486.43</v>
      </c>
      <c r="K79" s="16">
        <f t="shared" si="9"/>
        <v>52.261301020408162</v>
      </c>
      <c r="L79" s="13">
        <v>23</v>
      </c>
      <c r="M79" s="16">
        <f t="shared" si="10"/>
        <v>890.71434782608696</v>
      </c>
      <c r="N79" s="15">
        <v>58046.87</v>
      </c>
      <c r="O79" s="17">
        <f t="shared" si="11"/>
        <v>2.8334302267403348</v>
      </c>
    </row>
    <row r="80" spans="1:15" x14ac:dyDescent="0.25">
      <c r="A80" s="4" t="s">
        <v>45</v>
      </c>
      <c r="B80" s="5">
        <v>4</v>
      </c>
      <c r="C80" s="5" t="s">
        <v>43</v>
      </c>
      <c r="D80" s="5" t="s">
        <v>56</v>
      </c>
      <c r="E80" s="5" t="s">
        <v>60</v>
      </c>
      <c r="F80" s="6">
        <v>22701</v>
      </c>
      <c r="G80" s="6">
        <v>8304</v>
      </c>
      <c r="H80" s="6">
        <v>416</v>
      </c>
      <c r="I80" s="7">
        <f t="shared" si="8"/>
        <v>1.8325183912602971E-2</v>
      </c>
      <c r="J80" s="8">
        <v>20803.09</v>
      </c>
      <c r="K80" s="9">
        <f t="shared" si="9"/>
        <v>50.007427884615382</v>
      </c>
      <c r="L80" s="6">
        <v>25</v>
      </c>
      <c r="M80" s="9">
        <f t="shared" si="10"/>
        <v>832.12360000000001</v>
      </c>
      <c r="N80" s="8">
        <v>67318.759999999995</v>
      </c>
      <c r="O80" s="10">
        <f t="shared" si="11"/>
        <v>3.2359981137417564</v>
      </c>
    </row>
    <row r="81" spans="1:15" x14ac:dyDescent="0.25">
      <c r="A81" s="11" t="s">
        <v>46</v>
      </c>
      <c r="B81" s="12">
        <v>4</v>
      </c>
      <c r="C81" s="12" t="s">
        <v>43</v>
      </c>
      <c r="D81" s="12" t="s">
        <v>56</v>
      </c>
      <c r="E81" s="12" t="s">
        <v>60</v>
      </c>
      <c r="F81" s="13">
        <v>25134</v>
      </c>
      <c r="G81" s="13">
        <v>8912</v>
      </c>
      <c r="H81" s="13">
        <v>408</v>
      </c>
      <c r="I81" s="14">
        <f t="shared" si="8"/>
        <v>1.6232991167343041E-2</v>
      </c>
      <c r="J81" s="15">
        <v>22257.52</v>
      </c>
      <c r="K81" s="16">
        <f t="shared" si="9"/>
        <v>54.552745098039217</v>
      </c>
      <c r="L81" s="13">
        <v>23</v>
      </c>
      <c r="M81" s="16">
        <f t="shared" si="10"/>
        <v>967.71826086956526</v>
      </c>
      <c r="N81" s="15">
        <v>61315.78</v>
      </c>
      <c r="O81" s="17">
        <f t="shared" si="11"/>
        <v>2.7548343211642625</v>
      </c>
    </row>
    <row r="82" spans="1:15" x14ac:dyDescent="0.25">
      <c r="A82" s="4" t="s">
        <v>47</v>
      </c>
      <c r="B82" s="5">
        <v>4</v>
      </c>
      <c r="C82" s="5" t="s">
        <v>43</v>
      </c>
      <c r="D82" s="5" t="s">
        <v>56</v>
      </c>
      <c r="E82" s="5" t="s">
        <v>60</v>
      </c>
      <c r="F82" s="6">
        <v>22330</v>
      </c>
      <c r="G82" s="6">
        <v>8192</v>
      </c>
      <c r="H82" s="6">
        <v>396</v>
      </c>
      <c r="I82" s="7">
        <f t="shared" si="8"/>
        <v>1.7733990147783252E-2</v>
      </c>
      <c r="J82" s="8">
        <v>19606.68</v>
      </c>
      <c r="K82" s="9">
        <f t="shared" si="9"/>
        <v>49.511818181818185</v>
      </c>
      <c r="L82" s="6">
        <v>24</v>
      </c>
      <c r="M82" s="9">
        <f t="shared" si="10"/>
        <v>816.94500000000005</v>
      </c>
      <c r="N82" s="8">
        <v>62687.87</v>
      </c>
      <c r="O82" s="10">
        <f t="shared" si="11"/>
        <v>3.1972710321176252</v>
      </c>
    </row>
    <row r="83" spans="1:15" x14ac:dyDescent="0.25">
      <c r="A83" s="11" t="s">
        <v>48</v>
      </c>
      <c r="B83" s="12">
        <v>4</v>
      </c>
      <c r="C83" s="12" t="s">
        <v>43</v>
      </c>
      <c r="D83" s="12" t="s">
        <v>56</v>
      </c>
      <c r="E83" s="12" t="s">
        <v>60</v>
      </c>
      <c r="F83" s="13">
        <v>22471</v>
      </c>
      <c r="G83" s="13">
        <v>7891</v>
      </c>
      <c r="H83" s="13">
        <v>382</v>
      </c>
      <c r="I83" s="14">
        <f t="shared" si="8"/>
        <v>1.699968848738374E-2</v>
      </c>
      <c r="J83" s="15">
        <v>20219.53</v>
      </c>
      <c r="K83" s="16">
        <f t="shared" si="9"/>
        <v>52.930706806282721</v>
      </c>
      <c r="L83" s="13">
        <v>22</v>
      </c>
      <c r="M83" s="16">
        <f t="shared" si="10"/>
        <v>919.06954545454539</v>
      </c>
      <c r="N83" s="15">
        <v>54506.02</v>
      </c>
      <c r="O83" s="17">
        <f t="shared" si="11"/>
        <v>2.695711522473569</v>
      </c>
    </row>
    <row r="84" spans="1:15" x14ac:dyDescent="0.25">
      <c r="A84" s="4" t="s">
        <v>49</v>
      </c>
      <c r="B84" s="5">
        <v>4</v>
      </c>
      <c r="C84" s="5" t="s">
        <v>43</v>
      </c>
      <c r="D84" s="5" t="s">
        <v>56</v>
      </c>
      <c r="E84" s="5" t="s">
        <v>60</v>
      </c>
      <c r="F84" s="6">
        <v>25180</v>
      </c>
      <c r="G84" s="6">
        <v>9090</v>
      </c>
      <c r="H84" s="6">
        <v>445</v>
      </c>
      <c r="I84" s="7">
        <f t="shared" si="8"/>
        <v>1.767275615567911E-2</v>
      </c>
      <c r="J84" s="8">
        <v>23272.240000000002</v>
      </c>
      <c r="K84" s="9">
        <f t="shared" si="9"/>
        <v>52.297168539325845</v>
      </c>
      <c r="L84" s="6">
        <v>24</v>
      </c>
      <c r="M84" s="9">
        <f t="shared" si="10"/>
        <v>969.67666666666673</v>
      </c>
      <c r="N84" s="8">
        <v>62196.51</v>
      </c>
      <c r="O84" s="10">
        <f t="shared" si="11"/>
        <v>2.6725622458345222</v>
      </c>
    </row>
    <row r="85" spans="1:15" x14ac:dyDescent="0.25">
      <c r="A85" s="11" t="s">
        <v>50</v>
      </c>
      <c r="B85" s="12">
        <v>4</v>
      </c>
      <c r="C85" s="12" t="s">
        <v>43</v>
      </c>
      <c r="D85" s="12" t="s">
        <v>56</v>
      </c>
      <c r="E85" s="12" t="s">
        <v>60</v>
      </c>
      <c r="F85" s="13">
        <v>24733</v>
      </c>
      <c r="G85" s="13">
        <v>8898</v>
      </c>
      <c r="H85" s="13">
        <v>404</v>
      </c>
      <c r="I85" s="14">
        <f t="shared" si="8"/>
        <v>1.6334451946791735E-2</v>
      </c>
      <c r="J85" s="15">
        <v>23354.51</v>
      </c>
      <c r="K85" s="16">
        <f t="shared" si="9"/>
        <v>57.808193069306924</v>
      </c>
      <c r="L85" s="13">
        <v>23</v>
      </c>
      <c r="M85" s="16">
        <f t="shared" si="10"/>
        <v>1015.4134782608695</v>
      </c>
      <c r="N85" s="15">
        <v>60185.06</v>
      </c>
      <c r="O85" s="17">
        <f t="shared" si="11"/>
        <v>2.5770208837607811</v>
      </c>
    </row>
    <row r="86" spans="1:15" x14ac:dyDescent="0.25">
      <c r="A86" s="4" t="s">
        <v>15</v>
      </c>
      <c r="B86" s="5">
        <v>1</v>
      </c>
      <c r="C86" s="5" t="s">
        <v>16</v>
      </c>
      <c r="D86" s="5" t="s">
        <v>61</v>
      </c>
      <c r="E86" s="5" t="s">
        <v>62</v>
      </c>
      <c r="F86" s="6">
        <v>6464</v>
      </c>
      <c r="G86" s="6">
        <v>4103</v>
      </c>
      <c r="H86" s="6">
        <v>146</v>
      </c>
      <c r="I86" s="7">
        <f t="shared" si="8"/>
        <v>2.2586633663366336E-2</v>
      </c>
      <c r="J86" s="8">
        <v>13156.49</v>
      </c>
      <c r="K86" s="9">
        <f t="shared" si="9"/>
        <v>90.112945205479448</v>
      </c>
      <c r="L86" s="6">
        <v>12</v>
      </c>
      <c r="M86" s="9">
        <f t="shared" si="10"/>
        <v>1096.3741666666667</v>
      </c>
      <c r="N86" s="8">
        <v>32235.599999999999</v>
      </c>
      <c r="O86" s="10">
        <f t="shared" si="11"/>
        <v>2.4501671798481204</v>
      </c>
    </row>
    <row r="87" spans="1:15" x14ac:dyDescent="0.25">
      <c r="A87" s="11" t="s">
        <v>19</v>
      </c>
      <c r="B87" s="12">
        <v>1</v>
      </c>
      <c r="C87" s="12" t="s">
        <v>16</v>
      </c>
      <c r="D87" s="12" t="s">
        <v>61</v>
      </c>
      <c r="E87" s="12" t="s">
        <v>62</v>
      </c>
      <c r="F87" s="13">
        <v>7796</v>
      </c>
      <c r="G87" s="13">
        <v>4750</v>
      </c>
      <c r="H87" s="13">
        <v>163</v>
      </c>
      <c r="I87" s="14">
        <f t="shared" si="8"/>
        <v>2.0908158029758851E-2</v>
      </c>
      <c r="J87" s="15">
        <v>15988.14</v>
      </c>
      <c r="K87" s="16">
        <f t="shared" si="9"/>
        <v>98.08674846625766</v>
      </c>
      <c r="L87" s="13">
        <v>12</v>
      </c>
      <c r="M87" s="16">
        <f t="shared" si="10"/>
        <v>1332.345</v>
      </c>
      <c r="N87" s="15">
        <v>32759.71</v>
      </c>
      <c r="O87" s="17">
        <f t="shared" si="11"/>
        <v>2.0490006967664782</v>
      </c>
    </row>
    <row r="88" spans="1:15" x14ac:dyDescent="0.25">
      <c r="A88" s="4" t="s">
        <v>20</v>
      </c>
      <c r="B88" s="5">
        <v>1</v>
      </c>
      <c r="C88" s="5" t="s">
        <v>16</v>
      </c>
      <c r="D88" s="5" t="s">
        <v>61</v>
      </c>
      <c r="E88" s="5" t="s">
        <v>62</v>
      </c>
      <c r="F88" s="6">
        <v>6726</v>
      </c>
      <c r="G88" s="6">
        <v>4242</v>
      </c>
      <c r="H88" s="6">
        <v>164</v>
      </c>
      <c r="I88" s="7">
        <f t="shared" si="8"/>
        <v>2.4382991376746953E-2</v>
      </c>
      <c r="J88" s="8">
        <v>13655.98</v>
      </c>
      <c r="K88" s="9">
        <f t="shared" si="9"/>
        <v>83.268170731707315</v>
      </c>
      <c r="L88" s="6">
        <v>13</v>
      </c>
      <c r="M88" s="9">
        <f t="shared" si="10"/>
        <v>1050.46</v>
      </c>
      <c r="N88" s="8">
        <v>34659.31</v>
      </c>
      <c r="O88" s="10">
        <f t="shared" si="11"/>
        <v>2.5380316901460018</v>
      </c>
    </row>
    <row r="89" spans="1:15" x14ac:dyDescent="0.25">
      <c r="A89" s="11" t="s">
        <v>21</v>
      </c>
      <c r="B89" s="12">
        <v>1</v>
      </c>
      <c r="C89" s="12" t="s">
        <v>16</v>
      </c>
      <c r="D89" s="12" t="s">
        <v>61</v>
      </c>
      <c r="E89" s="12" t="s">
        <v>62</v>
      </c>
      <c r="F89" s="13">
        <v>7918</v>
      </c>
      <c r="G89" s="13">
        <v>4859</v>
      </c>
      <c r="H89" s="13">
        <v>165</v>
      </c>
      <c r="I89" s="14">
        <f t="shared" si="8"/>
        <v>2.0838595604950744E-2</v>
      </c>
      <c r="J89" s="15">
        <v>15155.4</v>
      </c>
      <c r="K89" s="16">
        <f t="shared" si="9"/>
        <v>91.850909090909084</v>
      </c>
      <c r="L89" s="13">
        <v>12</v>
      </c>
      <c r="M89" s="16">
        <f t="shared" si="10"/>
        <v>1262.95</v>
      </c>
      <c r="N89" s="15">
        <v>30033.81</v>
      </c>
      <c r="O89" s="17">
        <f t="shared" si="11"/>
        <v>1.9817233461340513</v>
      </c>
    </row>
    <row r="90" spans="1:15" x14ac:dyDescent="0.25">
      <c r="A90" s="4" t="s">
        <v>22</v>
      </c>
      <c r="B90" s="5">
        <v>1</v>
      </c>
      <c r="C90" s="5" t="s">
        <v>16</v>
      </c>
      <c r="D90" s="5" t="s">
        <v>61</v>
      </c>
      <c r="E90" s="5" t="s">
        <v>62</v>
      </c>
      <c r="F90" s="6">
        <v>6744</v>
      </c>
      <c r="G90" s="6">
        <v>4231</v>
      </c>
      <c r="H90" s="6">
        <v>147</v>
      </c>
      <c r="I90" s="7">
        <f t="shared" si="8"/>
        <v>2.1797153024911031E-2</v>
      </c>
      <c r="J90" s="8">
        <v>13263.12</v>
      </c>
      <c r="K90" s="9">
        <f t="shared" si="9"/>
        <v>90.225306122448984</v>
      </c>
      <c r="L90" s="6">
        <v>12</v>
      </c>
      <c r="M90" s="9">
        <f t="shared" si="10"/>
        <v>1105.26</v>
      </c>
      <c r="N90" s="8">
        <v>32032.720000000001</v>
      </c>
      <c r="O90" s="10">
        <f t="shared" si="11"/>
        <v>2.415172297317675</v>
      </c>
    </row>
    <row r="91" spans="1:15" x14ac:dyDescent="0.25">
      <c r="A91" s="11" t="s">
        <v>23</v>
      </c>
      <c r="B91" s="12">
        <v>1</v>
      </c>
      <c r="C91" s="12" t="s">
        <v>16</v>
      </c>
      <c r="D91" s="12" t="s">
        <v>61</v>
      </c>
      <c r="E91" s="12" t="s">
        <v>62</v>
      </c>
      <c r="F91" s="13">
        <v>7142</v>
      </c>
      <c r="G91" s="13">
        <v>4492</v>
      </c>
      <c r="H91" s="13">
        <v>173</v>
      </c>
      <c r="I91" s="14">
        <f t="shared" si="8"/>
        <v>2.4222906748809857E-2</v>
      </c>
      <c r="J91" s="15">
        <v>14775.51</v>
      </c>
      <c r="K91" s="16">
        <f t="shared" si="9"/>
        <v>85.407572254335264</v>
      </c>
      <c r="L91" s="13">
        <v>12</v>
      </c>
      <c r="M91" s="16">
        <f t="shared" si="10"/>
        <v>1231.2925</v>
      </c>
      <c r="N91" s="15">
        <v>32196.22</v>
      </c>
      <c r="O91" s="17">
        <f t="shared" si="11"/>
        <v>2.179025969323563</v>
      </c>
    </row>
    <row r="92" spans="1:15" x14ac:dyDescent="0.25">
      <c r="A92" s="4" t="s">
        <v>24</v>
      </c>
      <c r="B92" s="5">
        <v>1</v>
      </c>
      <c r="C92" s="5" t="s">
        <v>16</v>
      </c>
      <c r="D92" s="5" t="s">
        <v>61</v>
      </c>
      <c r="E92" s="5" t="s">
        <v>62</v>
      </c>
      <c r="F92" s="6">
        <v>7328</v>
      </c>
      <c r="G92" s="6">
        <v>4472</v>
      </c>
      <c r="H92" s="6">
        <v>153</v>
      </c>
      <c r="I92" s="7">
        <f t="shared" si="8"/>
        <v>2.087882096069869E-2</v>
      </c>
      <c r="J92" s="8">
        <v>14005.36</v>
      </c>
      <c r="K92" s="9">
        <f t="shared" si="9"/>
        <v>91.538300653594774</v>
      </c>
      <c r="L92" s="6">
        <v>11</v>
      </c>
      <c r="M92" s="9">
        <f t="shared" si="10"/>
        <v>1273.2145454545455</v>
      </c>
      <c r="N92" s="8">
        <v>29107.21</v>
      </c>
      <c r="O92" s="10">
        <f t="shared" si="11"/>
        <v>2.0782907401166408</v>
      </c>
    </row>
    <row r="93" spans="1:15" x14ac:dyDescent="0.25">
      <c r="A93" s="11" t="s">
        <v>25</v>
      </c>
      <c r="B93" s="12">
        <v>2</v>
      </c>
      <c r="C93" s="12" t="s">
        <v>16</v>
      </c>
      <c r="D93" s="12" t="s">
        <v>61</v>
      </c>
      <c r="E93" s="12" t="s">
        <v>63</v>
      </c>
      <c r="F93" s="13">
        <v>10403</v>
      </c>
      <c r="G93" s="13">
        <v>6639</v>
      </c>
      <c r="H93" s="13">
        <v>275</v>
      </c>
      <c r="I93" s="14">
        <f t="shared" si="8"/>
        <v>2.6434682303181776E-2</v>
      </c>
      <c r="J93" s="15">
        <v>20254.7</v>
      </c>
      <c r="K93" s="16">
        <f t="shared" si="9"/>
        <v>73.653454545454551</v>
      </c>
      <c r="L93" s="13">
        <v>22</v>
      </c>
      <c r="M93" s="16">
        <f t="shared" si="10"/>
        <v>920.66818181818189</v>
      </c>
      <c r="N93" s="15">
        <v>59967.59</v>
      </c>
      <c r="O93" s="17">
        <f t="shared" si="11"/>
        <v>2.9606753000538144</v>
      </c>
    </row>
    <row r="94" spans="1:15" x14ac:dyDescent="0.25">
      <c r="A94" s="4" t="s">
        <v>27</v>
      </c>
      <c r="B94" s="5">
        <v>2</v>
      </c>
      <c r="C94" s="5" t="s">
        <v>16</v>
      </c>
      <c r="D94" s="5" t="s">
        <v>61</v>
      </c>
      <c r="E94" s="5" t="s">
        <v>63</v>
      </c>
      <c r="F94" s="6">
        <v>8871</v>
      </c>
      <c r="G94" s="6">
        <v>5494</v>
      </c>
      <c r="H94" s="6">
        <v>227</v>
      </c>
      <c r="I94" s="7">
        <f t="shared" si="8"/>
        <v>2.5588997858189605E-2</v>
      </c>
      <c r="J94" s="8">
        <v>17255</v>
      </c>
      <c r="K94" s="9">
        <f t="shared" si="9"/>
        <v>76.013215859030836</v>
      </c>
      <c r="L94" s="6">
        <v>19</v>
      </c>
      <c r="M94" s="9">
        <f t="shared" si="10"/>
        <v>908.15789473684208</v>
      </c>
      <c r="N94" s="8">
        <v>49429.45</v>
      </c>
      <c r="O94" s="10">
        <f t="shared" si="11"/>
        <v>2.8646450304259634</v>
      </c>
    </row>
    <row r="95" spans="1:15" x14ac:dyDescent="0.25">
      <c r="A95" s="11" t="s">
        <v>28</v>
      </c>
      <c r="B95" s="12">
        <v>2</v>
      </c>
      <c r="C95" s="12" t="s">
        <v>16</v>
      </c>
      <c r="D95" s="12" t="s">
        <v>61</v>
      </c>
      <c r="E95" s="12" t="s">
        <v>63</v>
      </c>
      <c r="F95" s="13">
        <v>9327</v>
      </c>
      <c r="G95" s="13">
        <v>5952</v>
      </c>
      <c r="H95" s="13">
        <v>257</v>
      </c>
      <c r="I95" s="14">
        <f t="shared" si="8"/>
        <v>2.7554411922375899E-2</v>
      </c>
      <c r="J95" s="15">
        <v>18955.72</v>
      </c>
      <c r="K95" s="16">
        <f t="shared" si="9"/>
        <v>73.757665369649814</v>
      </c>
      <c r="L95" s="13">
        <v>20</v>
      </c>
      <c r="M95" s="16">
        <f t="shared" si="10"/>
        <v>947.78600000000006</v>
      </c>
      <c r="N95" s="15">
        <v>54396.1</v>
      </c>
      <c r="O95" s="17">
        <f t="shared" si="11"/>
        <v>2.8696404040574559</v>
      </c>
    </row>
    <row r="96" spans="1:15" x14ac:dyDescent="0.25">
      <c r="A96" s="4" t="s">
        <v>29</v>
      </c>
      <c r="B96" s="5">
        <v>2</v>
      </c>
      <c r="C96" s="5" t="s">
        <v>16</v>
      </c>
      <c r="D96" s="5" t="s">
        <v>61</v>
      </c>
      <c r="E96" s="5" t="s">
        <v>63</v>
      </c>
      <c r="F96" s="6">
        <v>7876</v>
      </c>
      <c r="G96" s="6">
        <v>5020</v>
      </c>
      <c r="H96" s="6">
        <v>213</v>
      </c>
      <c r="I96" s="7">
        <f t="shared" si="8"/>
        <v>2.7044184865413917E-2</v>
      </c>
      <c r="J96" s="8">
        <v>15542</v>
      </c>
      <c r="K96" s="9">
        <f t="shared" si="9"/>
        <v>72.967136150234737</v>
      </c>
      <c r="L96" s="6">
        <v>18</v>
      </c>
      <c r="M96" s="9">
        <f t="shared" si="10"/>
        <v>863.44444444444446</v>
      </c>
      <c r="N96" s="8">
        <v>47894.16</v>
      </c>
      <c r="O96" s="10">
        <f t="shared" si="11"/>
        <v>3.0815956762321455</v>
      </c>
    </row>
    <row r="97" spans="1:15" x14ac:dyDescent="0.25">
      <c r="A97" s="11" t="s">
        <v>30</v>
      </c>
      <c r="B97" s="12">
        <v>2</v>
      </c>
      <c r="C97" s="12" t="s">
        <v>16</v>
      </c>
      <c r="D97" s="12" t="s">
        <v>61</v>
      </c>
      <c r="E97" s="12" t="s">
        <v>63</v>
      </c>
      <c r="F97" s="13">
        <v>9851</v>
      </c>
      <c r="G97" s="13">
        <v>6072</v>
      </c>
      <c r="H97" s="13">
        <v>271</v>
      </c>
      <c r="I97" s="14">
        <f t="shared" si="8"/>
        <v>2.7509897472337834E-2</v>
      </c>
      <c r="J97" s="15">
        <v>18825.37</v>
      </c>
      <c r="K97" s="16">
        <f t="shared" si="9"/>
        <v>69.466309963099633</v>
      </c>
      <c r="L97" s="13">
        <v>23</v>
      </c>
      <c r="M97" s="16">
        <f t="shared" si="10"/>
        <v>818.49434782608694</v>
      </c>
      <c r="N97" s="15">
        <v>59701.32</v>
      </c>
      <c r="O97" s="17">
        <f t="shared" si="11"/>
        <v>3.17132252911895</v>
      </c>
    </row>
    <row r="98" spans="1:15" x14ac:dyDescent="0.25">
      <c r="A98" s="4" t="s">
        <v>31</v>
      </c>
      <c r="B98" s="5">
        <v>2</v>
      </c>
      <c r="C98" s="5" t="s">
        <v>16</v>
      </c>
      <c r="D98" s="5" t="s">
        <v>61</v>
      </c>
      <c r="E98" s="5" t="s">
        <v>63</v>
      </c>
      <c r="F98" s="6">
        <v>9184</v>
      </c>
      <c r="G98" s="6">
        <v>5820</v>
      </c>
      <c r="H98" s="6">
        <v>227</v>
      </c>
      <c r="I98" s="7">
        <f t="shared" ref="I98:I129" si="12">IFERROR(H98/F98,0)</f>
        <v>2.4716898954703834E-2</v>
      </c>
      <c r="J98" s="8">
        <v>18486.830000000002</v>
      </c>
      <c r="K98" s="9">
        <f t="shared" ref="K98:K129" si="13">IFERROR(J98/H98,0)</f>
        <v>81.439779735682833</v>
      </c>
      <c r="L98" s="6">
        <v>21</v>
      </c>
      <c r="M98" s="9">
        <f t="shared" ref="M98:M129" si="14">IFERROR(J98/L98,0)</f>
        <v>880.32523809523821</v>
      </c>
      <c r="N98" s="8">
        <v>56405.79</v>
      </c>
      <c r="O98" s="10">
        <f t="shared" ref="O98:O129" si="15">IFERROR(N98/J98,0)</f>
        <v>3.0511336989629911</v>
      </c>
    </row>
    <row r="99" spans="1:15" x14ac:dyDescent="0.25">
      <c r="A99" s="11" t="s">
        <v>32</v>
      </c>
      <c r="B99" s="12">
        <v>2</v>
      </c>
      <c r="C99" s="12" t="s">
        <v>16</v>
      </c>
      <c r="D99" s="12" t="s">
        <v>61</v>
      </c>
      <c r="E99" s="12" t="s">
        <v>63</v>
      </c>
      <c r="F99" s="13">
        <v>7516</v>
      </c>
      <c r="G99" s="13">
        <v>4805</v>
      </c>
      <c r="H99" s="13">
        <v>185</v>
      </c>
      <c r="I99" s="14">
        <f t="shared" si="12"/>
        <v>2.461415646620543E-2</v>
      </c>
      <c r="J99" s="15">
        <v>15680.39</v>
      </c>
      <c r="K99" s="16">
        <f t="shared" si="13"/>
        <v>84.758864864864861</v>
      </c>
      <c r="L99" s="13">
        <v>16</v>
      </c>
      <c r="M99" s="16">
        <f t="shared" si="14"/>
        <v>980.02437499999996</v>
      </c>
      <c r="N99" s="15">
        <v>42058.98</v>
      </c>
      <c r="O99" s="17">
        <f t="shared" si="15"/>
        <v>2.6822661936342147</v>
      </c>
    </row>
    <row r="100" spans="1:15" x14ac:dyDescent="0.25">
      <c r="A100" s="4" t="s">
        <v>33</v>
      </c>
      <c r="B100" s="5">
        <v>3</v>
      </c>
      <c r="C100" s="5" t="s">
        <v>34</v>
      </c>
      <c r="D100" s="5" t="s">
        <v>61</v>
      </c>
      <c r="E100" s="5" t="s">
        <v>64</v>
      </c>
      <c r="F100" s="6">
        <v>9212</v>
      </c>
      <c r="G100" s="6">
        <v>5827</v>
      </c>
      <c r="H100" s="6">
        <v>285</v>
      </c>
      <c r="I100" s="7">
        <f t="shared" si="12"/>
        <v>3.0937907077724706E-2</v>
      </c>
      <c r="J100" s="8">
        <v>17748.34</v>
      </c>
      <c r="K100" s="9">
        <f t="shared" si="13"/>
        <v>62.274877192982458</v>
      </c>
      <c r="L100" s="6">
        <v>27</v>
      </c>
      <c r="M100" s="9">
        <f t="shared" si="14"/>
        <v>657.34592592592594</v>
      </c>
      <c r="N100" s="8">
        <v>73345.399999999994</v>
      </c>
      <c r="O100" s="10">
        <f t="shared" si="15"/>
        <v>4.1325216893523562</v>
      </c>
    </row>
    <row r="101" spans="1:15" x14ac:dyDescent="0.25">
      <c r="A101" s="11" t="s">
        <v>36</v>
      </c>
      <c r="B101" s="12">
        <v>3</v>
      </c>
      <c r="C101" s="12" t="s">
        <v>34</v>
      </c>
      <c r="D101" s="12" t="s">
        <v>61</v>
      </c>
      <c r="E101" s="12" t="s">
        <v>64</v>
      </c>
      <c r="F101" s="13">
        <v>7579</v>
      </c>
      <c r="G101" s="13">
        <v>4799</v>
      </c>
      <c r="H101" s="13">
        <v>245</v>
      </c>
      <c r="I101" s="14">
        <f t="shared" si="12"/>
        <v>3.2326164401636097E-2</v>
      </c>
      <c r="J101" s="15">
        <v>15812.96</v>
      </c>
      <c r="K101" s="16">
        <f t="shared" si="13"/>
        <v>64.542693877551017</v>
      </c>
      <c r="L101" s="13">
        <v>27</v>
      </c>
      <c r="M101" s="16">
        <f t="shared" si="14"/>
        <v>585.66518518518512</v>
      </c>
      <c r="N101" s="15">
        <v>71538.080000000002</v>
      </c>
      <c r="O101" s="17">
        <f t="shared" si="15"/>
        <v>4.5240157440479205</v>
      </c>
    </row>
    <row r="102" spans="1:15" x14ac:dyDescent="0.25">
      <c r="A102" s="4" t="s">
        <v>37</v>
      </c>
      <c r="B102" s="5">
        <v>3</v>
      </c>
      <c r="C102" s="5" t="s">
        <v>34</v>
      </c>
      <c r="D102" s="5" t="s">
        <v>61</v>
      </c>
      <c r="E102" s="5" t="s">
        <v>64</v>
      </c>
      <c r="F102" s="6">
        <v>10326</v>
      </c>
      <c r="G102" s="6">
        <v>6450</v>
      </c>
      <c r="H102" s="6">
        <v>354</v>
      </c>
      <c r="I102" s="7">
        <f t="shared" si="12"/>
        <v>3.4282393957001743E-2</v>
      </c>
      <c r="J102" s="8">
        <v>20355.98</v>
      </c>
      <c r="K102" s="9">
        <f t="shared" si="13"/>
        <v>57.502768361581921</v>
      </c>
      <c r="L102" s="6">
        <v>34</v>
      </c>
      <c r="M102" s="9">
        <f t="shared" si="14"/>
        <v>598.7052941176471</v>
      </c>
      <c r="N102" s="8">
        <v>85938.91</v>
      </c>
      <c r="O102" s="10">
        <f t="shared" si="15"/>
        <v>4.221801652389126</v>
      </c>
    </row>
    <row r="103" spans="1:15" x14ac:dyDescent="0.25">
      <c r="A103" s="11" t="s">
        <v>38</v>
      </c>
      <c r="B103" s="12">
        <v>3</v>
      </c>
      <c r="C103" s="12" t="s">
        <v>34</v>
      </c>
      <c r="D103" s="12" t="s">
        <v>61</v>
      </c>
      <c r="E103" s="12" t="s">
        <v>64</v>
      </c>
      <c r="F103" s="13">
        <v>8489</v>
      </c>
      <c r="G103" s="13">
        <v>5244</v>
      </c>
      <c r="H103" s="13">
        <v>279</v>
      </c>
      <c r="I103" s="14">
        <f t="shared" si="12"/>
        <v>3.2866061962539758E-2</v>
      </c>
      <c r="J103" s="15">
        <v>16659.07</v>
      </c>
      <c r="K103" s="16">
        <f t="shared" si="13"/>
        <v>59.709928315412185</v>
      </c>
      <c r="L103" s="13">
        <v>29</v>
      </c>
      <c r="M103" s="16">
        <f t="shared" si="14"/>
        <v>574.45068965517237</v>
      </c>
      <c r="N103" s="15">
        <v>75633.149999999994</v>
      </c>
      <c r="O103" s="17">
        <f t="shared" si="15"/>
        <v>4.5400583585998495</v>
      </c>
    </row>
    <row r="104" spans="1:15" x14ac:dyDescent="0.25">
      <c r="A104" s="4" t="s">
        <v>39</v>
      </c>
      <c r="B104" s="5">
        <v>3</v>
      </c>
      <c r="C104" s="5" t="s">
        <v>34</v>
      </c>
      <c r="D104" s="5" t="s">
        <v>61</v>
      </c>
      <c r="E104" s="5" t="s">
        <v>64</v>
      </c>
      <c r="F104" s="6">
        <v>8351</v>
      </c>
      <c r="G104" s="6">
        <v>5296</v>
      </c>
      <c r="H104" s="6">
        <v>261</v>
      </c>
      <c r="I104" s="7">
        <f t="shared" si="12"/>
        <v>3.1253742066818344E-2</v>
      </c>
      <c r="J104" s="8">
        <v>16826.37</v>
      </c>
      <c r="K104" s="9">
        <f t="shared" si="13"/>
        <v>64.468850574712633</v>
      </c>
      <c r="L104" s="6">
        <v>29</v>
      </c>
      <c r="M104" s="9">
        <f t="shared" si="14"/>
        <v>580.21965517241381</v>
      </c>
      <c r="N104" s="8">
        <v>73672.710000000006</v>
      </c>
      <c r="O104" s="10">
        <f t="shared" si="15"/>
        <v>4.3784078205816233</v>
      </c>
    </row>
    <row r="105" spans="1:15" x14ac:dyDescent="0.25">
      <c r="A105" s="11" t="s">
        <v>40</v>
      </c>
      <c r="B105" s="12">
        <v>3</v>
      </c>
      <c r="C105" s="12" t="s">
        <v>34</v>
      </c>
      <c r="D105" s="12" t="s">
        <v>61</v>
      </c>
      <c r="E105" s="12" t="s">
        <v>64</v>
      </c>
      <c r="F105" s="13">
        <v>9782</v>
      </c>
      <c r="G105" s="13">
        <v>5975</v>
      </c>
      <c r="H105" s="13">
        <v>297</v>
      </c>
      <c r="I105" s="14">
        <f t="shared" si="12"/>
        <v>3.0361889184215906E-2</v>
      </c>
      <c r="J105" s="15">
        <v>20062.48</v>
      </c>
      <c r="K105" s="16">
        <f t="shared" si="13"/>
        <v>67.550437710437706</v>
      </c>
      <c r="L105" s="13">
        <v>29</v>
      </c>
      <c r="M105" s="16">
        <f t="shared" si="14"/>
        <v>691.80965517241373</v>
      </c>
      <c r="N105" s="15">
        <v>75670.41</v>
      </c>
      <c r="O105" s="17">
        <f t="shared" si="15"/>
        <v>3.7717375917633316</v>
      </c>
    </row>
    <row r="106" spans="1:15" x14ac:dyDescent="0.25">
      <c r="A106" s="4" t="s">
        <v>41</v>
      </c>
      <c r="B106" s="5">
        <v>3</v>
      </c>
      <c r="C106" s="5" t="s">
        <v>34</v>
      </c>
      <c r="D106" s="5" t="s">
        <v>61</v>
      </c>
      <c r="E106" s="5" t="s">
        <v>64</v>
      </c>
      <c r="F106" s="6">
        <v>8997</v>
      </c>
      <c r="G106" s="6">
        <v>5517</v>
      </c>
      <c r="H106" s="6">
        <v>275</v>
      </c>
      <c r="I106" s="7">
        <f t="shared" si="12"/>
        <v>3.0565744136934532E-2</v>
      </c>
      <c r="J106" s="8">
        <v>17534.79</v>
      </c>
      <c r="K106" s="9">
        <f t="shared" si="13"/>
        <v>63.762872727272729</v>
      </c>
      <c r="L106" s="6">
        <v>29</v>
      </c>
      <c r="M106" s="9">
        <f t="shared" si="14"/>
        <v>604.64793103448278</v>
      </c>
      <c r="N106" s="8">
        <v>77093.37</v>
      </c>
      <c r="O106" s="10">
        <f t="shared" si="15"/>
        <v>4.3965949977159688</v>
      </c>
    </row>
    <row r="107" spans="1:15" x14ac:dyDescent="0.25">
      <c r="A107" s="11" t="s">
        <v>42</v>
      </c>
      <c r="B107" s="12">
        <v>4</v>
      </c>
      <c r="C107" s="12" t="s">
        <v>43</v>
      </c>
      <c r="D107" s="12" t="s">
        <v>61</v>
      </c>
      <c r="E107" s="12" t="s">
        <v>65</v>
      </c>
      <c r="F107" s="13">
        <v>12181</v>
      </c>
      <c r="G107" s="13">
        <v>7629</v>
      </c>
      <c r="H107" s="13">
        <v>419</v>
      </c>
      <c r="I107" s="14">
        <f t="shared" si="12"/>
        <v>3.4397832690255314E-2</v>
      </c>
      <c r="J107" s="15">
        <v>25605.42</v>
      </c>
      <c r="K107" s="16">
        <f t="shared" si="13"/>
        <v>61.110787589498806</v>
      </c>
      <c r="L107" s="13">
        <v>54</v>
      </c>
      <c r="M107" s="16">
        <f t="shared" si="14"/>
        <v>474.17444444444442</v>
      </c>
      <c r="N107" s="15">
        <v>141149.16</v>
      </c>
      <c r="O107" s="17">
        <f t="shared" si="15"/>
        <v>5.5124719688253512</v>
      </c>
    </row>
    <row r="108" spans="1:15" x14ac:dyDescent="0.25">
      <c r="A108" s="4" t="s">
        <v>45</v>
      </c>
      <c r="B108" s="5">
        <v>4</v>
      </c>
      <c r="C108" s="5" t="s">
        <v>43</v>
      </c>
      <c r="D108" s="5" t="s">
        <v>61</v>
      </c>
      <c r="E108" s="5" t="s">
        <v>65</v>
      </c>
      <c r="F108" s="6">
        <v>11507</v>
      </c>
      <c r="G108" s="6">
        <v>7031</v>
      </c>
      <c r="H108" s="6">
        <v>445</v>
      </c>
      <c r="I108" s="7">
        <f t="shared" si="12"/>
        <v>3.867211262709655E-2</v>
      </c>
      <c r="J108" s="8">
        <v>22567.87</v>
      </c>
      <c r="K108" s="9">
        <f t="shared" si="13"/>
        <v>50.714314606741574</v>
      </c>
      <c r="L108" s="6">
        <v>52</v>
      </c>
      <c r="M108" s="9">
        <f t="shared" si="14"/>
        <v>433.9975</v>
      </c>
      <c r="N108" s="8">
        <v>140239.17000000001</v>
      </c>
      <c r="O108" s="10">
        <f t="shared" si="15"/>
        <v>6.2141074899846558</v>
      </c>
    </row>
    <row r="109" spans="1:15" x14ac:dyDescent="0.25">
      <c r="A109" s="11" t="s">
        <v>46</v>
      </c>
      <c r="B109" s="12">
        <v>4</v>
      </c>
      <c r="C109" s="12" t="s">
        <v>43</v>
      </c>
      <c r="D109" s="12" t="s">
        <v>61</v>
      </c>
      <c r="E109" s="12" t="s">
        <v>65</v>
      </c>
      <c r="F109" s="13">
        <v>10550</v>
      </c>
      <c r="G109" s="13">
        <v>6582</v>
      </c>
      <c r="H109" s="13">
        <v>376</v>
      </c>
      <c r="I109" s="14">
        <f t="shared" si="12"/>
        <v>3.5639810426540283E-2</v>
      </c>
      <c r="J109" s="15">
        <v>20943.89</v>
      </c>
      <c r="K109" s="16">
        <f t="shared" si="13"/>
        <v>55.70183510638298</v>
      </c>
      <c r="L109" s="13">
        <v>41</v>
      </c>
      <c r="M109" s="16">
        <f t="shared" si="14"/>
        <v>510.82658536585365</v>
      </c>
      <c r="N109" s="15">
        <v>101817.68</v>
      </c>
      <c r="O109" s="17">
        <f t="shared" si="15"/>
        <v>4.8614502845459935</v>
      </c>
    </row>
    <row r="110" spans="1:15" x14ac:dyDescent="0.25">
      <c r="A110" s="4" t="s">
        <v>47</v>
      </c>
      <c r="B110" s="5">
        <v>4</v>
      </c>
      <c r="C110" s="5" t="s">
        <v>43</v>
      </c>
      <c r="D110" s="5" t="s">
        <v>61</v>
      </c>
      <c r="E110" s="5" t="s">
        <v>65</v>
      </c>
      <c r="F110" s="6">
        <v>10294</v>
      </c>
      <c r="G110" s="6">
        <v>6425</v>
      </c>
      <c r="H110" s="6">
        <v>395</v>
      </c>
      <c r="I110" s="7">
        <f t="shared" si="12"/>
        <v>3.8371867107052655E-2</v>
      </c>
      <c r="J110" s="8">
        <v>19717.55</v>
      </c>
      <c r="K110" s="9">
        <f t="shared" si="13"/>
        <v>49.917848101265818</v>
      </c>
      <c r="L110" s="6">
        <v>46</v>
      </c>
      <c r="M110" s="9">
        <f t="shared" si="14"/>
        <v>428.64239130434783</v>
      </c>
      <c r="N110" s="8">
        <v>114506.02</v>
      </c>
      <c r="O110" s="10">
        <f t="shared" si="15"/>
        <v>5.8073148033097421</v>
      </c>
    </row>
    <row r="111" spans="1:15" x14ac:dyDescent="0.25">
      <c r="A111" s="11" t="s">
        <v>48</v>
      </c>
      <c r="B111" s="12">
        <v>4</v>
      </c>
      <c r="C111" s="12" t="s">
        <v>43</v>
      </c>
      <c r="D111" s="12" t="s">
        <v>61</v>
      </c>
      <c r="E111" s="12" t="s">
        <v>65</v>
      </c>
      <c r="F111" s="13">
        <v>10305</v>
      </c>
      <c r="G111" s="13">
        <v>6268</v>
      </c>
      <c r="H111" s="13">
        <v>345</v>
      </c>
      <c r="I111" s="14">
        <f t="shared" si="12"/>
        <v>3.3478893740902474E-2</v>
      </c>
      <c r="J111" s="15">
        <v>20346.55</v>
      </c>
      <c r="K111" s="16">
        <f t="shared" si="13"/>
        <v>58.975507246376807</v>
      </c>
      <c r="L111" s="13">
        <v>41</v>
      </c>
      <c r="M111" s="16">
        <f t="shared" si="14"/>
        <v>496.25731707317073</v>
      </c>
      <c r="N111" s="15">
        <v>104508.89</v>
      </c>
      <c r="O111" s="17">
        <f t="shared" si="15"/>
        <v>5.1364427875978977</v>
      </c>
    </row>
    <row r="112" spans="1:15" x14ac:dyDescent="0.25">
      <c r="A112" s="4" t="s">
        <v>49</v>
      </c>
      <c r="B112" s="5">
        <v>4</v>
      </c>
      <c r="C112" s="5" t="s">
        <v>43</v>
      </c>
      <c r="D112" s="5" t="s">
        <v>61</v>
      </c>
      <c r="E112" s="5" t="s">
        <v>65</v>
      </c>
      <c r="F112" s="6">
        <v>10793</v>
      </c>
      <c r="G112" s="6">
        <v>6591</v>
      </c>
      <c r="H112" s="6">
        <v>410</v>
      </c>
      <c r="I112" s="7">
        <f t="shared" si="12"/>
        <v>3.7987584545538772E-2</v>
      </c>
      <c r="J112" s="8">
        <v>20570.79</v>
      </c>
      <c r="K112" s="9">
        <f t="shared" si="13"/>
        <v>50.172658536585367</v>
      </c>
      <c r="L112" s="6">
        <v>49</v>
      </c>
      <c r="M112" s="9">
        <f t="shared" si="14"/>
        <v>419.81204081632654</v>
      </c>
      <c r="N112" s="8">
        <v>131104.04</v>
      </c>
      <c r="O112" s="10">
        <f t="shared" si="15"/>
        <v>6.3733108937478828</v>
      </c>
    </row>
    <row r="113" spans="1:15" x14ac:dyDescent="0.25">
      <c r="A113" s="11" t="s">
        <v>50</v>
      </c>
      <c r="B113" s="12">
        <v>4</v>
      </c>
      <c r="C113" s="12" t="s">
        <v>43</v>
      </c>
      <c r="D113" s="12" t="s">
        <v>61</v>
      </c>
      <c r="E113" s="12" t="s">
        <v>65</v>
      </c>
      <c r="F113" s="13">
        <v>9846</v>
      </c>
      <c r="G113" s="13">
        <v>6162</v>
      </c>
      <c r="H113" s="13">
        <v>351</v>
      </c>
      <c r="I113" s="14">
        <f t="shared" si="12"/>
        <v>3.5648994515539302E-2</v>
      </c>
      <c r="J113" s="15">
        <v>20247.919999999998</v>
      </c>
      <c r="K113" s="16">
        <f t="shared" si="13"/>
        <v>57.686381766381764</v>
      </c>
      <c r="L113" s="13">
        <v>41</v>
      </c>
      <c r="M113" s="16">
        <f t="shared" si="14"/>
        <v>493.85170731707314</v>
      </c>
      <c r="N113" s="15">
        <v>110439.38</v>
      </c>
      <c r="O113" s="17">
        <f t="shared" si="15"/>
        <v>5.4543567931915975</v>
      </c>
    </row>
    <row r="114" spans="1:15" x14ac:dyDescent="0.25">
      <c r="A114" s="4" t="s">
        <v>15</v>
      </c>
      <c r="B114" s="5">
        <v>1</v>
      </c>
      <c r="C114" s="5" t="s">
        <v>16</v>
      </c>
      <c r="D114" s="5" t="s">
        <v>66</v>
      </c>
      <c r="E114" s="5" t="s">
        <v>67</v>
      </c>
      <c r="F114" s="6">
        <v>6123</v>
      </c>
      <c r="G114" s="6">
        <v>3864</v>
      </c>
      <c r="H114" s="6">
        <v>123</v>
      </c>
      <c r="I114" s="7">
        <f t="shared" si="12"/>
        <v>2.0088192062714356E-2</v>
      </c>
      <c r="J114" s="8">
        <v>15763.29</v>
      </c>
      <c r="K114" s="9">
        <f t="shared" si="13"/>
        <v>128.15682926829268</v>
      </c>
      <c r="L114" s="6">
        <v>11</v>
      </c>
      <c r="M114" s="9">
        <f t="shared" si="14"/>
        <v>1433.0263636363636</v>
      </c>
      <c r="N114" s="8">
        <v>27384.69</v>
      </c>
      <c r="O114" s="10">
        <f t="shared" si="15"/>
        <v>1.7372445726748666</v>
      </c>
    </row>
    <row r="115" spans="1:15" x14ac:dyDescent="0.25">
      <c r="A115" s="11" t="s">
        <v>19</v>
      </c>
      <c r="B115" s="12">
        <v>1</v>
      </c>
      <c r="C115" s="12" t="s">
        <v>16</v>
      </c>
      <c r="D115" s="12" t="s">
        <v>66</v>
      </c>
      <c r="E115" s="12" t="s">
        <v>67</v>
      </c>
      <c r="F115" s="13">
        <v>4919</v>
      </c>
      <c r="G115" s="13">
        <v>3065</v>
      </c>
      <c r="H115" s="13">
        <v>108</v>
      </c>
      <c r="I115" s="14">
        <f t="shared" si="12"/>
        <v>2.1955682049196991E-2</v>
      </c>
      <c r="J115" s="15">
        <v>12940.55</v>
      </c>
      <c r="K115" s="16">
        <f t="shared" si="13"/>
        <v>119.8199074074074</v>
      </c>
      <c r="L115" s="13">
        <v>9</v>
      </c>
      <c r="M115" s="16">
        <f t="shared" si="14"/>
        <v>1437.8388888888887</v>
      </c>
      <c r="N115" s="15">
        <v>22771.65</v>
      </c>
      <c r="O115" s="17">
        <f t="shared" si="15"/>
        <v>1.7597126860913952</v>
      </c>
    </row>
    <row r="116" spans="1:15" x14ac:dyDescent="0.25">
      <c r="A116" s="4" t="s">
        <v>20</v>
      </c>
      <c r="B116" s="5">
        <v>1</v>
      </c>
      <c r="C116" s="5" t="s">
        <v>16</v>
      </c>
      <c r="D116" s="5" t="s">
        <v>66</v>
      </c>
      <c r="E116" s="5" t="s">
        <v>67</v>
      </c>
      <c r="F116" s="6">
        <v>5815</v>
      </c>
      <c r="G116" s="6">
        <v>3679</v>
      </c>
      <c r="H116" s="6">
        <v>124</v>
      </c>
      <c r="I116" s="7">
        <f t="shared" si="12"/>
        <v>2.1324161650902836E-2</v>
      </c>
      <c r="J116" s="8">
        <v>14241.93</v>
      </c>
      <c r="K116" s="9">
        <f t="shared" si="13"/>
        <v>114.85427419354839</v>
      </c>
      <c r="L116" s="6">
        <v>12</v>
      </c>
      <c r="M116" s="9">
        <f t="shared" si="14"/>
        <v>1186.8275000000001</v>
      </c>
      <c r="N116" s="8">
        <v>32522.6</v>
      </c>
      <c r="O116" s="10">
        <f t="shared" si="15"/>
        <v>2.2835809472452118</v>
      </c>
    </row>
    <row r="117" spans="1:15" x14ac:dyDescent="0.25">
      <c r="A117" s="11" t="s">
        <v>21</v>
      </c>
      <c r="B117" s="12">
        <v>1</v>
      </c>
      <c r="C117" s="12" t="s">
        <v>16</v>
      </c>
      <c r="D117" s="12" t="s">
        <v>66</v>
      </c>
      <c r="E117" s="12" t="s">
        <v>67</v>
      </c>
      <c r="F117" s="13">
        <v>5841</v>
      </c>
      <c r="G117" s="13">
        <v>3678</v>
      </c>
      <c r="H117" s="13">
        <v>130</v>
      </c>
      <c r="I117" s="14">
        <f t="shared" si="12"/>
        <v>2.2256462934429035E-2</v>
      </c>
      <c r="J117" s="15">
        <v>14194.94</v>
      </c>
      <c r="K117" s="16">
        <f t="shared" si="13"/>
        <v>109.19184615384616</v>
      </c>
      <c r="L117" s="13">
        <v>13</v>
      </c>
      <c r="M117" s="16">
        <f t="shared" si="14"/>
        <v>1091.9184615384615</v>
      </c>
      <c r="N117" s="15">
        <v>33546.97</v>
      </c>
      <c r="O117" s="17">
        <f t="shared" si="15"/>
        <v>2.3633048114328061</v>
      </c>
    </row>
    <row r="118" spans="1:15" x14ac:dyDescent="0.25">
      <c r="A118" s="4" t="s">
        <v>22</v>
      </c>
      <c r="B118" s="5">
        <v>1</v>
      </c>
      <c r="C118" s="5" t="s">
        <v>16</v>
      </c>
      <c r="D118" s="5" t="s">
        <v>66</v>
      </c>
      <c r="E118" s="5" t="s">
        <v>67</v>
      </c>
      <c r="F118" s="6">
        <v>5919</v>
      </c>
      <c r="G118" s="6">
        <v>3732</v>
      </c>
      <c r="H118" s="6">
        <v>138</v>
      </c>
      <c r="I118" s="7">
        <f t="shared" si="12"/>
        <v>2.3314749113025848E-2</v>
      </c>
      <c r="J118" s="8">
        <v>14732.8</v>
      </c>
      <c r="K118" s="9">
        <f t="shared" si="13"/>
        <v>106.75942028985507</v>
      </c>
      <c r="L118" s="6">
        <v>13</v>
      </c>
      <c r="M118" s="9">
        <f t="shared" si="14"/>
        <v>1133.2923076923075</v>
      </c>
      <c r="N118" s="8">
        <v>32351.37</v>
      </c>
      <c r="O118" s="10">
        <f t="shared" si="15"/>
        <v>2.1958738325369245</v>
      </c>
    </row>
    <row r="119" spans="1:15" x14ac:dyDescent="0.25">
      <c r="A119" s="11" t="s">
        <v>23</v>
      </c>
      <c r="B119" s="12">
        <v>1</v>
      </c>
      <c r="C119" s="12" t="s">
        <v>16</v>
      </c>
      <c r="D119" s="12" t="s">
        <v>66</v>
      </c>
      <c r="E119" s="12" t="s">
        <v>67</v>
      </c>
      <c r="F119" s="13">
        <v>6027</v>
      </c>
      <c r="G119" s="13">
        <v>3723</v>
      </c>
      <c r="H119" s="13">
        <v>136</v>
      </c>
      <c r="I119" s="14">
        <f t="shared" si="12"/>
        <v>2.2565123610419777E-2</v>
      </c>
      <c r="J119" s="15">
        <v>15588.31</v>
      </c>
      <c r="K119" s="16">
        <f t="shared" si="13"/>
        <v>114.61992647058823</v>
      </c>
      <c r="L119" s="13">
        <v>13</v>
      </c>
      <c r="M119" s="16">
        <f t="shared" si="14"/>
        <v>1199.1007692307692</v>
      </c>
      <c r="N119" s="15">
        <v>33085.5</v>
      </c>
      <c r="O119" s="17">
        <f t="shared" si="15"/>
        <v>2.1224558659662272</v>
      </c>
    </row>
    <row r="120" spans="1:15" x14ac:dyDescent="0.25">
      <c r="A120" s="4" t="s">
        <v>24</v>
      </c>
      <c r="B120" s="5">
        <v>1</v>
      </c>
      <c r="C120" s="5" t="s">
        <v>16</v>
      </c>
      <c r="D120" s="5" t="s">
        <v>66</v>
      </c>
      <c r="E120" s="5" t="s">
        <v>67</v>
      </c>
      <c r="F120" s="6">
        <v>4827</v>
      </c>
      <c r="G120" s="6">
        <v>3051</v>
      </c>
      <c r="H120" s="6">
        <v>108</v>
      </c>
      <c r="I120" s="7">
        <f t="shared" si="12"/>
        <v>2.2374145431945307E-2</v>
      </c>
      <c r="J120" s="8">
        <v>12538.19</v>
      </c>
      <c r="K120" s="9">
        <f t="shared" si="13"/>
        <v>116.09435185185185</v>
      </c>
      <c r="L120" s="6">
        <v>11</v>
      </c>
      <c r="M120" s="9">
        <f t="shared" si="14"/>
        <v>1139.8354545454547</v>
      </c>
      <c r="N120" s="8">
        <v>28601.35</v>
      </c>
      <c r="O120" s="10">
        <f t="shared" si="15"/>
        <v>2.281138665150233</v>
      </c>
    </row>
    <row r="121" spans="1:15" x14ac:dyDescent="0.25">
      <c r="A121" s="11" t="s">
        <v>25</v>
      </c>
      <c r="B121" s="12">
        <v>2</v>
      </c>
      <c r="C121" s="12" t="s">
        <v>16</v>
      </c>
      <c r="D121" s="12" t="s">
        <v>66</v>
      </c>
      <c r="E121" s="12" t="s">
        <v>68</v>
      </c>
      <c r="F121" s="13">
        <v>8079</v>
      </c>
      <c r="G121" s="13">
        <v>5151</v>
      </c>
      <c r="H121" s="13">
        <v>198</v>
      </c>
      <c r="I121" s="14">
        <f t="shared" si="12"/>
        <v>2.4507983661344226E-2</v>
      </c>
      <c r="J121" s="15">
        <v>19304.73</v>
      </c>
      <c r="K121" s="16">
        <f t="shared" si="13"/>
        <v>97.498636363636365</v>
      </c>
      <c r="L121" s="13">
        <v>22</v>
      </c>
      <c r="M121" s="16">
        <f t="shared" si="14"/>
        <v>877.48772727272728</v>
      </c>
      <c r="N121" s="15">
        <v>60057.55</v>
      </c>
      <c r="O121" s="17">
        <f t="shared" si="15"/>
        <v>3.1110277118612903</v>
      </c>
    </row>
    <row r="122" spans="1:15" x14ac:dyDescent="0.25">
      <c r="A122" s="4" t="s">
        <v>27</v>
      </c>
      <c r="B122" s="5">
        <v>2</v>
      </c>
      <c r="C122" s="5" t="s">
        <v>16</v>
      </c>
      <c r="D122" s="5" t="s">
        <v>66</v>
      </c>
      <c r="E122" s="5" t="s">
        <v>68</v>
      </c>
      <c r="F122" s="6">
        <v>6879</v>
      </c>
      <c r="G122" s="6">
        <v>4240</v>
      </c>
      <c r="H122" s="6">
        <v>151</v>
      </c>
      <c r="I122" s="7">
        <f t="shared" si="12"/>
        <v>2.1950864951301063E-2</v>
      </c>
      <c r="J122" s="8">
        <v>16906.37</v>
      </c>
      <c r="K122" s="9">
        <f t="shared" si="13"/>
        <v>111.96271523178807</v>
      </c>
      <c r="L122" s="6">
        <v>16</v>
      </c>
      <c r="M122" s="9">
        <f t="shared" si="14"/>
        <v>1056.6481249999999</v>
      </c>
      <c r="N122" s="8">
        <v>41477.279999999999</v>
      </c>
      <c r="O122" s="10">
        <f t="shared" si="15"/>
        <v>2.4533521980176705</v>
      </c>
    </row>
    <row r="123" spans="1:15" x14ac:dyDescent="0.25">
      <c r="A123" s="11" t="s">
        <v>28</v>
      </c>
      <c r="B123" s="12">
        <v>2</v>
      </c>
      <c r="C123" s="12" t="s">
        <v>16</v>
      </c>
      <c r="D123" s="12" t="s">
        <v>66</v>
      </c>
      <c r="E123" s="12" t="s">
        <v>68</v>
      </c>
      <c r="F123" s="13">
        <v>6769</v>
      </c>
      <c r="G123" s="13">
        <v>4336</v>
      </c>
      <c r="H123" s="13">
        <v>153</v>
      </c>
      <c r="I123" s="14">
        <f t="shared" si="12"/>
        <v>2.2603043285566553E-2</v>
      </c>
      <c r="J123" s="15">
        <v>16670.91</v>
      </c>
      <c r="K123" s="16">
        <f t="shared" si="13"/>
        <v>108.96019607843137</v>
      </c>
      <c r="L123" s="13">
        <v>16</v>
      </c>
      <c r="M123" s="16">
        <f t="shared" si="14"/>
        <v>1041.931875</v>
      </c>
      <c r="N123" s="15">
        <v>42160.7</v>
      </c>
      <c r="O123" s="17">
        <f t="shared" si="15"/>
        <v>2.5289981170793916</v>
      </c>
    </row>
    <row r="124" spans="1:15" x14ac:dyDescent="0.25">
      <c r="A124" s="4" t="s">
        <v>29</v>
      </c>
      <c r="B124" s="5">
        <v>2</v>
      </c>
      <c r="C124" s="5" t="s">
        <v>16</v>
      </c>
      <c r="D124" s="5" t="s">
        <v>66</v>
      </c>
      <c r="E124" s="5" t="s">
        <v>68</v>
      </c>
      <c r="F124" s="6">
        <v>7572</v>
      </c>
      <c r="G124" s="6">
        <v>4616</v>
      </c>
      <c r="H124" s="6">
        <v>178</v>
      </c>
      <c r="I124" s="7">
        <f t="shared" si="12"/>
        <v>2.3507659799260432E-2</v>
      </c>
      <c r="J124" s="8">
        <v>18946.349999999999</v>
      </c>
      <c r="K124" s="9">
        <f t="shared" si="13"/>
        <v>106.44016853932584</v>
      </c>
      <c r="L124" s="6">
        <v>18</v>
      </c>
      <c r="M124" s="9">
        <f t="shared" si="14"/>
        <v>1052.5749999999998</v>
      </c>
      <c r="N124" s="8">
        <v>47596.22</v>
      </c>
      <c r="O124" s="10">
        <f t="shared" si="15"/>
        <v>2.5121577507013226</v>
      </c>
    </row>
    <row r="125" spans="1:15" x14ac:dyDescent="0.25">
      <c r="A125" s="11" t="s">
        <v>30</v>
      </c>
      <c r="B125" s="12">
        <v>2</v>
      </c>
      <c r="C125" s="12" t="s">
        <v>16</v>
      </c>
      <c r="D125" s="12" t="s">
        <v>66</v>
      </c>
      <c r="E125" s="12" t="s">
        <v>68</v>
      </c>
      <c r="F125" s="13">
        <v>7586</v>
      </c>
      <c r="G125" s="13">
        <v>4693</v>
      </c>
      <c r="H125" s="13">
        <v>191</v>
      </c>
      <c r="I125" s="14">
        <f t="shared" si="12"/>
        <v>2.5177959398892696E-2</v>
      </c>
      <c r="J125" s="15">
        <v>18309.810000000001</v>
      </c>
      <c r="K125" s="16">
        <f t="shared" si="13"/>
        <v>95.862879581151844</v>
      </c>
      <c r="L125" s="13">
        <v>19</v>
      </c>
      <c r="M125" s="16">
        <f t="shared" si="14"/>
        <v>963.67421052631585</v>
      </c>
      <c r="N125" s="15">
        <v>51599.26</v>
      </c>
      <c r="O125" s="17">
        <f t="shared" si="15"/>
        <v>2.818120996340213</v>
      </c>
    </row>
    <row r="126" spans="1:15" x14ac:dyDescent="0.25">
      <c r="A126" s="4" t="s">
        <v>31</v>
      </c>
      <c r="B126" s="5">
        <v>2</v>
      </c>
      <c r="C126" s="5" t="s">
        <v>16</v>
      </c>
      <c r="D126" s="5" t="s">
        <v>66</v>
      </c>
      <c r="E126" s="5" t="s">
        <v>68</v>
      </c>
      <c r="F126" s="6">
        <v>7381</v>
      </c>
      <c r="G126" s="6">
        <v>4627</v>
      </c>
      <c r="H126" s="6">
        <v>177</v>
      </c>
      <c r="I126" s="7">
        <f t="shared" si="12"/>
        <v>2.3980490448448719E-2</v>
      </c>
      <c r="J126" s="8">
        <v>17892.310000000001</v>
      </c>
      <c r="K126" s="9">
        <f t="shared" si="13"/>
        <v>101.08649717514125</v>
      </c>
      <c r="L126" s="6">
        <v>18</v>
      </c>
      <c r="M126" s="9">
        <f t="shared" si="14"/>
        <v>994.01722222222224</v>
      </c>
      <c r="N126" s="8">
        <v>45972.92</v>
      </c>
      <c r="O126" s="10">
        <f t="shared" si="15"/>
        <v>2.5694234003323211</v>
      </c>
    </row>
    <row r="127" spans="1:15" x14ac:dyDescent="0.25">
      <c r="A127" s="11" t="s">
        <v>32</v>
      </c>
      <c r="B127" s="12">
        <v>2</v>
      </c>
      <c r="C127" s="12" t="s">
        <v>16</v>
      </c>
      <c r="D127" s="12" t="s">
        <v>66</v>
      </c>
      <c r="E127" s="12" t="s">
        <v>68</v>
      </c>
      <c r="F127" s="13">
        <v>7107</v>
      </c>
      <c r="G127" s="13">
        <v>4416</v>
      </c>
      <c r="H127" s="13">
        <v>172</v>
      </c>
      <c r="I127" s="14">
        <f t="shared" si="12"/>
        <v>2.4201491487266077E-2</v>
      </c>
      <c r="J127" s="15">
        <v>16969.52</v>
      </c>
      <c r="K127" s="16">
        <f t="shared" si="13"/>
        <v>98.66</v>
      </c>
      <c r="L127" s="13">
        <v>19</v>
      </c>
      <c r="M127" s="16">
        <f t="shared" si="14"/>
        <v>893.13263157894744</v>
      </c>
      <c r="N127" s="15">
        <v>50178.84</v>
      </c>
      <c r="O127" s="17">
        <f t="shared" si="15"/>
        <v>2.9569981944097412</v>
      </c>
    </row>
    <row r="128" spans="1:15" x14ac:dyDescent="0.25">
      <c r="A128" s="4" t="s">
        <v>33</v>
      </c>
      <c r="B128" s="5">
        <v>3</v>
      </c>
      <c r="C128" s="5" t="s">
        <v>34</v>
      </c>
      <c r="D128" s="5" t="s">
        <v>66</v>
      </c>
      <c r="E128" s="5" t="s">
        <v>69</v>
      </c>
      <c r="F128" s="6">
        <v>6976</v>
      </c>
      <c r="G128" s="6">
        <v>4373</v>
      </c>
      <c r="H128" s="6">
        <v>229</v>
      </c>
      <c r="I128" s="7">
        <f t="shared" si="12"/>
        <v>3.2826834862385322E-2</v>
      </c>
      <c r="J128" s="8">
        <v>17972.060000000001</v>
      </c>
      <c r="K128" s="9">
        <f t="shared" si="13"/>
        <v>78.480611353711794</v>
      </c>
      <c r="L128" s="6">
        <v>29</v>
      </c>
      <c r="M128" s="9">
        <f t="shared" si="14"/>
        <v>619.72620689655173</v>
      </c>
      <c r="N128" s="8">
        <v>76894.81</v>
      </c>
      <c r="O128" s="10">
        <f t="shared" si="15"/>
        <v>4.2785751883757337</v>
      </c>
    </row>
    <row r="129" spans="1:15" x14ac:dyDescent="0.25">
      <c r="A129" s="11" t="s">
        <v>36</v>
      </c>
      <c r="B129" s="12">
        <v>3</v>
      </c>
      <c r="C129" s="12" t="s">
        <v>34</v>
      </c>
      <c r="D129" s="12" t="s">
        <v>66</v>
      </c>
      <c r="E129" s="12" t="s">
        <v>69</v>
      </c>
      <c r="F129" s="13">
        <v>6652</v>
      </c>
      <c r="G129" s="13">
        <v>4276</v>
      </c>
      <c r="H129" s="13">
        <v>205</v>
      </c>
      <c r="I129" s="14">
        <f t="shared" si="12"/>
        <v>3.0817799158147925E-2</v>
      </c>
      <c r="J129" s="15">
        <v>17283.48</v>
      </c>
      <c r="K129" s="16">
        <f t="shared" si="13"/>
        <v>84.30965853658536</v>
      </c>
      <c r="L129" s="13">
        <v>25</v>
      </c>
      <c r="M129" s="16">
        <f t="shared" si="14"/>
        <v>691.33920000000001</v>
      </c>
      <c r="N129" s="15">
        <v>62779.46</v>
      </c>
      <c r="O129" s="17">
        <f t="shared" si="15"/>
        <v>3.6323390891186267</v>
      </c>
    </row>
    <row r="130" spans="1:15" x14ac:dyDescent="0.25">
      <c r="A130" s="4" t="s">
        <v>37</v>
      </c>
      <c r="B130" s="5">
        <v>3</v>
      </c>
      <c r="C130" s="5" t="s">
        <v>34</v>
      </c>
      <c r="D130" s="5" t="s">
        <v>66</v>
      </c>
      <c r="E130" s="5" t="s">
        <v>69</v>
      </c>
      <c r="F130" s="6">
        <v>6466</v>
      </c>
      <c r="G130" s="6">
        <v>4054</v>
      </c>
      <c r="H130" s="6">
        <v>180</v>
      </c>
      <c r="I130" s="7">
        <f t="shared" ref="I130:I161" si="16">IFERROR(H130/F130,0)</f>
        <v>2.7837921435199506E-2</v>
      </c>
      <c r="J130" s="8">
        <v>16082.13</v>
      </c>
      <c r="K130" s="9">
        <f t="shared" ref="K130:K161" si="17">IFERROR(J130/H130,0)</f>
        <v>89.345166666666657</v>
      </c>
      <c r="L130" s="6">
        <v>25</v>
      </c>
      <c r="M130" s="9">
        <f t="shared" ref="M130:M161" si="18">IFERROR(J130/L130,0)</f>
        <v>643.28519999999992</v>
      </c>
      <c r="N130" s="8">
        <v>67684.039999999994</v>
      </c>
      <c r="O130" s="10">
        <f t="shared" ref="O130:O161" si="19">IFERROR(N130/J130,0)</f>
        <v>4.2086489787111532</v>
      </c>
    </row>
    <row r="131" spans="1:15" x14ac:dyDescent="0.25">
      <c r="A131" s="11" t="s">
        <v>38</v>
      </c>
      <c r="B131" s="12">
        <v>3</v>
      </c>
      <c r="C131" s="12" t="s">
        <v>34</v>
      </c>
      <c r="D131" s="12" t="s">
        <v>66</v>
      </c>
      <c r="E131" s="12" t="s">
        <v>69</v>
      </c>
      <c r="F131" s="13">
        <v>6778</v>
      </c>
      <c r="G131" s="13">
        <v>4139</v>
      </c>
      <c r="H131" s="13">
        <v>218</v>
      </c>
      <c r="I131" s="14">
        <f t="shared" si="16"/>
        <v>3.2162879905576869E-2</v>
      </c>
      <c r="J131" s="15">
        <v>17009.48</v>
      </c>
      <c r="K131" s="16">
        <f t="shared" si="17"/>
        <v>78.025137614678897</v>
      </c>
      <c r="L131" s="13">
        <v>28</v>
      </c>
      <c r="M131" s="16">
        <f t="shared" si="18"/>
        <v>607.48142857142852</v>
      </c>
      <c r="N131" s="15">
        <v>74376.87</v>
      </c>
      <c r="O131" s="17">
        <f t="shared" si="19"/>
        <v>4.3726715925472144</v>
      </c>
    </row>
    <row r="132" spans="1:15" x14ac:dyDescent="0.25">
      <c r="A132" s="4" t="s">
        <v>39</v>
      </c>
      <c r="B132" s="5">
        <v>3</v>
      </c>
      <c r="C132" s="5" t="s">
        <v>34</v>
      </c>
      <c r="D132" s="5" t="s">
        <v>66</v>
      </c>
      <c r="E132" s="5" t="s">
        <v>69</v>
      </c>
      <c r="F132" s="6">
        <v>7651</v>
      </c>
      <c r="G132" s="6">
        <v>4717</v>
      </c>
      <c r="H132" s="6">
        <v>247</v>
      </c>
      <c r="I132" s="7">
        <f t="shared" si="16"/>
        <v>3.2283361652071622E-2</v>
      </c>
      <c r="J132" s="8">
        <v>19110.509999999998</v>
      </c>
      <c r="K132" s="9">
        <f t="shared" si="17"/>
        <v>77.370485829959506</v>
      </c>
      <c r="L132" s="6">
        <v>35</v>
      </c>
      <c r="M132" s="9">
        <f t="shared" si="18"/>
        <v>546.01457142857134</v>
      </c>
      <c r="N132" s="8">
        <v>88667.95</v>
      </c>
      <c r="O132" s="10">
        <f t="shared" si="19"/>
        <v>4.6397479711425813</v>
      </c>
    </row>
    <row r="133" spans="1:15" x14ac:dyDescent="0.25">
      <c r="A133" s="11" t="s">
        <v>40</v>
      </c>
      <c r="B133" s="12">
        <v>3</v>
      </c>
      <c r="C133" s="12" t="s">
        <v>34</v>
      </c>
      <c r="D133" s="12" t="s">
        <v>66</v>
      </c>
      <c r="E133" s="12" t="s">
        <v>69</v>
      </c>
      <c r="F133" s="13">
        <v>7403</v>
      </c>
      <c r="G133" s="13">
        <v>4595</v>
      </c>
      <c r="H133" s="13">
        <v>243</v>
      </c>
      <c r="I133" s="14">
        <f t="shared" si="16"/>
        <v>3.2824530595704442E-2</v>
      </c>
      <c r="J133" s="15">
        <v>18412.939999999999</v>
      </c>
      <c r="K133" s="16">
        <f t="shared" si="17"/>
        <v>75.773415637860083</v>
      </c>
      <c r="L133" s="13">
        <v>31</v>
      </c>
      <c r="M133" s="16">
        <f t="shared" si="18"/>
        <v>593.96580645161282</v>
      </c>
      <c r="N133" s="15">
        <v>83657.37</v>
      </c>
      <c r="O133" s="17">
        <f t="shared" si="19"/>
        <v>4.5434009995144722</v>
      </c>
    </row>
    <row r="134" spans="1:15" x14ac:dyDescent="0.25">
      <c r="A134" s="4" t="s">
        <v>41</v>
      </c>
      <c r="B134" s="5">
        <v>3</v>
      </c>
      <c r="C134" s="5" t="s">
        <v>34</v>
      </c>
      <c r="D134" s="5" t="s">
        <v>66</v>
      </c>
      <c r="E134" s="5" t="s">
        <v>69</v>
      </c>
      <c r="F134" s="6">
        <v>7930</v>
      </c>
      <c r="G134" s="6">
        <v>4890</v>
      </c>
      <c r="H134" s="6">
        <v>254</v>
      </c>
      <c r="I134" s="7">
        <f t="shared" si="16"/>
        <v>3.2030264817150066E-2</v>
      </c>
      <c r="J134" s="8">
        <v>19129.400000000001</v>
      </c>
      <c r="K134" s="9">
        <f t="shared" si="17"/>
        <v>75.312598425196853</v>
      </c>
      <c r="L134" s="6">
        <v>32</v>
      </c>
      <c r="M134" s="9">
        <f t="shared" si="18"/>
        <v>597.79375000000005</v>
      </c>
      <c r="N134" s="8">
        <v>86812.95</v>
      </c>
      <c r="O134" s="10">
        <f t="shared" si="19"/>
        <v>4.5381951341913487</v>
      </c>
    </row>
    <row r="135" spans="1:15" x14ac:dyDescent="0.25">
      <c r="A135" s="11" t="s">
        <v>42</v>
      </c>
      <c r="B135" s="12">
        <v>4</v>
      </c>
      <c r="C135" s="12" t="s">
        <v>43</v>
      </c>
      <c r="D135" s="12" t="s">
        <v>66</v>
      </c>
      <c r="E135" s="12" t="s">
        <v>70</v>
      </c>
      <c r="F135" s="13">
        <v>8121</v>
      </c>
      <c r="G135" s="13">
        <v>5087</v>
      </c>
      <c r="H135" s="13">
        <v>265</v>
      </c>
      <c r="I135" s="14">
        <f t="shared" si="16"/>
        <v>3.2631449328900379E-2</v>
      </c>
      <c r="J135" s="15">
        <v>21040.82</v>
      </c>
      <c r="K135" s="16">
        <f t="shared" si="17"/>
        <v>79.399320754716982</v>
      </c>
      <c r="L135" s="13">
        <v>38</v>
      </c>
      <c r="M135" s="16">
        <f t="shared" si="18"/>
        <v>553.70578947368415</v>
      </c>
      <c r="N135" s="15">
        <v>99229.09</v>
      </c>
      <c r="O135" s="17">
        <f t="shared" si="19"/>
        <v>4.7160277023423989</v>
      </c>
    </row>
    <row r="136" spans="1:15" x14ac:dyDescent="0.25">
      <c r="A136" s="4" t="s">
        <v>45</v>
      </c>
      <c r="B136" s="5">
        <v>4</v>
      </c>
      <c r="C136" s="5" t="s">
        <v>43</v>
      </c>
      <c r="D136" s="5" t="s">
        <v>66</v>
      </c>
      <c r="E136" s="5" t="s">
        <v>70</v>
      </c>
      <c r="F136" s="6">
        <v>9163</v>
      </c>
      <c r="G136" s="6">
        <v>5666</v>
      </c>
      <c r="H136" s="6">
        <v>289</v>
      </c>
      <c r="I136" s="7">
        <f t="shared" si="16"/>
        <v>3.1539888682745827E-2</v>
      </c>
      <c r="J136" s="8">
        <v>23010.79</v>
      </c>
      <c r="K136" s="9">
        <f t="shared" si="17"/>
        <v>79.622110726643598</v>
      </c>
      <c r="L136" s="6">
        <v>43</v>
      </c>
      <c r="M136" s="9">
        <f t="shared" si="18"/>
        <v>535.13465116279076</v>
      </c>
      <c r="N136" s="8">
        <v>112602.7</v>
      </c>
      <c r="O136" s="10">
        <f t="shared" si="19"/>
        <v>4.8934738876848645</v>
      </c>
    </row>
    <row r="137" spans="1:15" x14ac:dyDescent="0.25">
      <c r="A137" s="11" t="s">
        <v>46</v>
      </c>
      <c r="B137" s="12">
        <v>4</v>
      </c>
      <c r="C137" s="12" t="s">
        <v>43</v>
      </c>
      <c r="D137" s="12" t="s">
        <v>66</v>
      </c>
      <c r="E137" s="12" t="s">
        <v>70</v>
      </c>
      <c r="F137" s="13">
        <v>7641</v>
      </c>
      <c r="G137" s="13">
        <v>4855</v>
      </c>
      <c r="H137" s="13">
        <v>234</v>
      </c>
      <c r="I137" s="14">
        <f t="shared" si="16"/>
        <v>3.0624263839811542E-2</v>
      </c>
      <c r="J137" s="15">
        <v>19624.490000000002</v>
      </c>
      <c r="K137" s="16">
        <f t="shared" si="17"/>
        <v>83.865341880341887</v>
      </c>
      <c r="L137" s="13">
        <v>35</v>
      </c>
      <c r="M137" s="16">
        <f t="shared" si="18"/>
        <v>560.69971428571432</v>
      </c>
      <c r="N137" s="15">
        <v>92867.57</v>
      </c>
      <c r="O137" s="17">
        <f t="shared" si="19"/>
        <v>4.7322284553636811</v>
      </c>
    </row>
    <row r="138" spans="1:15" x14ac:dyDescent="0.25">
      <c r="A138" s="4" t="s">
        <v>47</v>
      </c>
      <c r="B138" s="5">
        <v>4</v>
      </c>
      <c r="C138" s="5" t="s">
        <v>43</v>
      </c>
      <c r="D138" s="5" t="s">
        <v>66</v>
      </c>
      <c r="E138" s="5" t="s">
        <v>70</v>
      </c>
      <c r="F138" s="6">
        <v>8135</v>
      </c>
      <c r="G138" s="6">
        <v>5050</v>
      </c>
      <c r="H138" s="6">
        <v>283</v>
      </c>
      <c r="I138" s="7">
        <f t="shared" si="16"/>
        <v>3.4787953288260599E-2</v>
      </c>
      <c r="J138" s="8">
        <v>19723.47</v>
      </c>
      <c r="K138" s="9">
        <f t="shared" si="17"/>
        <v>69.694240282685513</v>
      </c>
      <c r="L138" s="6">
        <v>43</v>
      </c>
      <c r="M138" s="9">
        <f t="shared" si="18"/>
        <v>458.68534883720935</v>
      </c>
      <c r="N138" s="8">
        <v>117175.55</v>
      </c>
      <c r="O138" s="10">
        <f t="shared" si="19"/>
        <v>5.9409196251977967</v>
      </c>
    </row>
    <row r="139" spans="1:15" x14ac:dyDescent="0.25">
      <c r="A139" s="11" t="s">
        <v>48</v>
      </c>
      <c r="B139" s="12">
        <v>4</v>
      </c>
      <c r="C139" s="12" t="s">
        <v>43</v>
      </c>
      <c r="D139" s="12" t="s">
        <v>66</v>
      </c>
      <c r="E139" s="12" t="s">
        <v>70</v>
      </c>
      <c r="F139" s="13">
        <v>8612</v>
      </c>
      <c r="G139" s="13">
        <v>5233</v>
      </c>
      <c r="H139" s="13">
        <v>290</v>
      </c>
      <c r="I139" s="14">
        <f t="shared" si="16"/>
        <v>3.3673943334881558E-2</v>
      </c>
      <c r="J139" s="15">
        <v>21539.59</v>
      </c>
      <c r="K139" s="16">
        <f t="shared" si="17"/>
        <v>74.274448275862071</v>
      </c>
      <c r="L139" s="13">
        <v>42</v>
      </c>
      <c r="M139" s="16">
        <f t="shared" si="18"/>
        <v>512.84738095238095</v>
      </c>
      <c r="N139" s="15">
        <v>113237.13</v>
      </c>
      <c r="O139" s="17">
        <f t="shared" si="19"/>
        <v>5.2571627407949739</v>
      </c>
    </row>
    <row r="140" spans="1:15" x14ac:dyDescent="0.25">
      <c r="A140" s="4" t="s">
        <v>49</v>
      </c>
      <c r="B140" s="5">
        <v>4</v>
      </c>
      <c r="C140" s="5" t="s">
        <v>43</v>
      </c>
      <c r="D140" s="5" t="s">
        <v>66</v>
      </c>
      <c r="E140" s="5" t="s">
        <v>70</v>
      </c>
      <c r="F140" s="6">
        <v>10015</v>
      </c>
      <c r="G140" s="6">
        <v>6237</v>
      </c>
      <c r="H140" s="6">
        <v>339</v>
      </c>
      <c r="I140" s="7">
        <f t="shared" si="16"/>
        <v>3.3849226160758861E-2</v>
      </c>
      <c r="J140" s="8">
        <v>24133.99</v>
      </c>
      <c r="K140" s="9">
        <f t="shared" si="17"/>
        <v>71.191710914454276</v>
      </c>
      <c r="L140" s="6">
        <v>48</v>
      </c>
      <c r="M140" s="9">
        <f t="shared" si="18"/>
        <v>502.79145833333337</v>
      </c>
      <c r="N140" s="8">
        <v>127576.1</v>
      </c>
      <c r="O140" s="10">
        <f t="shared" si="19"/>
        <v>5.2861586501030287</v>
      </c>
    </row>
    <row r="141" spans="1:15" x14ac:dyDescent="0.25">
      <c r="A141" s="11" t="s">
        <v>50</v>
      </c>
      <c r="B141" s="12">
        <v>4</v>
      </c>
      <c r="C141" s="12" t="s">
        <v>43</v>
      </c>
      <c r="D141" s="12" t="s">
        <v>66</v>
      </c>
      <c r="E141" s="12" t="s">
        <v>70</v>
      </c>
      <c r="F141" s="13">
        <v>8295</v>
      </c>
      <c r="G141" s="13">
        <v>5233</v>
      </c>
      <c r="H141" s="13">
        <v>260</v>
      </c>
      <c r="I141" s="14">
        <f t="shared" si="16"/>
        <v>3.134418324291742E-2</v>
      </c>
      <c r="J141" s="15">
        <v>20926.849999999999</v>
      </c>
      <c r="K141" s="16">
        <f t="shared" si="17"/>
        <v>80.487884615384615</v>
      </c>
      <c r="L141" s="13">
        <v>37</v>
      </c>
      <c r="M141" s="16">
        <f t="shared" si="18"/>
        <v>565.59054054054047</v>
      </c>
      <c r="N141" s="15">
        <v>100713.74</v>
      </c>
      <c r="O141" s="17">
        <f t="shared" si="19"/>
        <v>4.8126564676480221</v>
      </c>
    </row>
  </sheetData>
  <autoFilter ref="A1:O1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showGridLines="0" topLeftCell="A4" zoomScaleNormal="100" workbookViewId="0">
      <selection activeCell="D20" sqref="D20"/>
    </sheetView>
  </sheetViews>
  <sheetFormatPr defaultColWidth="8.7109375" defaultRowHeight="15" x14ac:dyDescent="0.25"/>
  <cols>
    <col min="1" max="1" width="24" customWidth="1"/>
    <col min="2" max="2" width="14" customWidth="1"/>
    <col min="3" max="3" width="13" customWidth="1"/>
    <col min="4" max="4" width="12" customWidth="1"/>
    <col min="5" max="5" width="10" customWidth="1"/>
    <col min="6" max="6" width="9" customWidth="1"/>
    <col min="7" max="7" width="11" customWidth="1"/>
    <col min="8" max="8" width="12" customWidth="1"/>
    <col min="9" max="9" width="11" customWidth="1"/>
    <col min="10" max="10" width="14" customWidth="1"/>
    <col min="11" max="11" width="8" customWidth="1"/>
  </cols>
  <sheetData>
    <row r="1" spans="1:11" ht="18" x14ac:dyDescent="0.25">
      <c r="A1" s="2" t="s">
        <v>71</v>
      </c>
      <c r="B1" s="2"/>
      <c r="C1" s="2"/>
      <c r="D1" s="2"/>
      <c r="E1" s="2"/>
      <c r="F1" s="2"/>
    </row>
    <row r="2" spans="1:11" x14ac:dyDescent="0.25">
      <c r="A2" s="1" t="s">
        <v>72</v>
      </c>
      <c r="B2" s="1"/>
      <c r="C2" s="1"/>
      <c r="D2" s="1"/>
      <c r="E2" s="1"/>
      <c r="F2" s="1"/>
    </row>
    <row r="4" spans="1:11" ht="25.5" x14ac:dyDescent="0.25">
      <c r="A4" s="18" t="s">
        <v>3</v>
      </c>
      <c r="B4" s="18" t="s">
        <v>9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10</v>
      </c>
      <c r="H4" s="18" t="s">
        <v>11</v>
      </c>
      <c r="I4" s="18" t="s">
        <v>12</v>
      </c>
      <c r="J4" s="18" t="s">
        <v>13</v>
      </c>
      <c r="K4" s="18" t="s">
        <v>14</v>
      </c>
    </row>
    <row r="5" spans="1:11" x14ac:dyDescent="0.25">
      <c r="A5" s="12" t="s">
        <v>17</v>
      </c>
      <c r="B5" s="15">
        <f>SUMIFS('Raw Campaign Data'!$J:$J,'Raw Campaign Data'!$D:$D,$A5)</f>
        <v>2499999.9700000002</v>
      </c>
      <c r="C5" s="13">
        <f>SUMIFS('Raw Campaign Data'!$F:$F,'Raw Campaign Data'!$D:$D,$A5)</f>
        <v>1301142</v>
      </c>
      <c r="D5" s="13">
        <f>SUMIFS('Raw Campaign Data'!$G:$G,'Raw Campaign Data'!$D:$D,$A5)</f>
        <v>592103</v>
      </c>
      <c r="E5" s="13">
        <f>SUMIFS('Raw Campaign Data'!$H:$H,'Raw Campaign Data'!$D:$D,$A5)</f>
        <v>64480</v>
      </c>
      <c r="F5" s="14">
        <f t="shared" ref="F5:F10" si="0">IFERROR(E5/C5,0)</f>
        <v>4.9556466550153631E-2</v>
      </c>
      <c r="G5" s="16">
        <f t="shared" ref="G5:G10" si="1">IFERROR(B5/E5,0)</f>
        <v>38.77171169354839</v>
      </c>
      <c r="H5" s="13">
        <f>SUMIFS('Raw Campaign Data'!$L:$L,'Raw Campaign Data'!$D:$D,$A5)</f>
        <v>4096</v>
      </c>
      <c r="I5" s="16">
        <f t="shared" ref="I5:I10" si="2">IFERROR(B5/H5,0)</f>
        <v>610.3515551757813</v>
      </c>
      <c r="J5" s="15">
        <f>SUMIFS('Raw Campaign Data'!$N:$N,'Raw Campaign Data'!$D:$D,$A5)</f>
        <v>10666090.140000001</v>
      </c>
      <c r="K5" s="17">
        <f t="shared" ref="K5:K10" si="3">IFERROR(J5/B5,0)</f>
        <v>4.266436107197233</v>
      </c>
    </row>
    <row r="6" spans="1:11" x14ac:dyDescent="0.25">
      <c r="A6" s="5" t="s">
        <v>51</v>
      </c>
      <c r="B6" s="8">
        <f>SUMIFS('Raw Campaign Data'!$J:$J,'Raw Campaign Data'!$D:$D,$A6)</f>
        <v>1000000.0100000001</v>
      </c>
      <c r="C6" s="6">
        <f>SUMIFS('Raw Campaign Data'!$F:$F,'Raw Campaign Data'!$D:$D,$A6)</f>
        <v>119749</v>
      </c>
      <c r="D6" s="6">
        <f>SUMIFS('Raw Campaign Data'!$G:$G,'Raw Campaign Data'!$D:$D,$A6)</f>
        <v>109672</v>
      </c>
      <c r="E6" s="6">
        <f>SUMIFS('Raw Campaign Data'!$H:$H,'Raw Campaign Data'!$D:$D,$A6)</f>
        <v>7718</v>
      </c>
      <c r="F6" s="7">
        <f t="shared" si="0"/>
        <v>6.445147767413506E-2</v>
      </c>
      <c r="G6" s="9">
        <f t="shared" si="1"/>
        <v>129.56724669603526</v>
      </c>
      <c r="H6" s="6">
        <f>SUMIFS('Raw Campaign Data'!$L:$L,'Raw Campaign Data'!$D:$D,$A6)</f>
        <v>1449</v>
      </c>
      <c r="I6" s="9">
        <f t="shared" si="2"/>
        <v>690.13113181504491</v>
      </c>
      <c r="J6" s="8">
        <f>SUMIFS('Raw Campaign Data'!$N:$N,'Raw Campaign Data'!$D:$D,$A6)</f>
        <v>3804418.1500000004</v>
      </c>
      <c r="K6" s="10">
        <f t="shared" si="3"/>
        <v>3.8044181119558189</v>
      </c>
    </row>
    <row r="7" spans="1:11" x14ac:dyDescent="0.25">
      <c r="A7" s="12" t="s">
        <v>56</v>
      </c>
      <c r="B7" s="15">
        <f>SUMIFS('Raw Campaign Data'!$J:$J,'Raw Campaign Data'!$D:$D,$A7)</f>
        <v>500000</v>
      </c>
      <c r="C7" s="13">
        <f>SUMIFS('Raw Campaign Data'!$F:$F,'Raw Campaign Data'!$D:$D,$A7)</f>
        <v>545441</v>
      </c>
      <c r="D7" s="13">
        <f>SUMIFS('Raw Campaign Data'!$G:$G,'Raw Campaign Data'!$D:$D,$A7)</f>
        <v>195416</v>
      </c>
      <c r="E7" s="13">
        <f>SUMIFS('Raw Campaign Data'!$H:$H,'Raw Campaign Data'!$D:$D,$A7)</f>
        <v>8124</v>
      </c>
      <c r="F7" s="14">
        <f t="shared" si="0"/>
        <v>1.4894369876851941E-2</v>
      </c>
      <c r="G7" s="16">
        <f t="shared" si="1"/>
        <v>61.546036435253569</v>
      </c>
      <c r="H7" s="13">
        <f>SUMIFS('Raw Campaign Data'!$L:$L,'Raw Campaign Data'!$D:$D,$A7)</f>
        <v>405</v>
      </c>
      <c r="I7" s="16">
        <f t="shared" si="2"/>
        <v>1234.5679012345679</v>
      </c>
      <c r="J7" s="15">
        <f>SUMIFS('Raw Campaign Data'!$N:$N,'Raw Campaign Data'!$D:$D,$A7)</f>
        <v>1054257.1100000001</v>
      </c>
      <c r="K7" s="17">
        <f t="shared" si="3"/>
        <v>2.10851422</v>
      </c>
    </row>
    <row r="8" spans="1:11" x14ac:dyDescent="0.25">
      <c r="A8" s="5" t="s">
        <v>61</v>
      </c>
      <c r="B8" s="8">
        <f>SUMIFS('Raw Campaign Data'!$J:$J,'Raw Campaign Data'!$D:$D,$A8)</f>
        <v>499999.98999999987</v>
      </c>
      <c r="C8" s="6">
        <f>SUMIFS('Raw Campaign Data'!$F:$F,'Raw Campaign Data'!$D:$D,$A8)</f>
        <v>251358</v>
      </c>
      <c r="D8" s="6">
        <f>SUMIFS('Raw Campaign Data'!$G:$G,'Raw Campaign Data'!$D:$D,$A8)</f>
        <v>156747</v>
      </c>
      <c r="E8" s="6">
        <f>SUMIFS('Raw Campaign Data'!$H:$H,'Raw Campaign Data'!$D:$D,$A8)</f>
        <v>7503</v>
      </c>
      <c r="F8" s="7">
        <f t="shared" si="0"/>
        <v>2.9849855584465186E-2</v>
      </c>
      <c r="G8" s="9">
        <f t="shared" si="1"/>
        <v>66.640009329601483</v>
      </c>
      <c r="H8" s="6">
        <f>SUMIFS('Raw Campaign Data'!$L:$L,'Raw Campaign Data'!$D:$D,$A8)</f>
        <v>751</v>
      </c>
      <c r="I8" s="9">
        <f t="shared" si="2"/>
        <v>665.77894806924087</v>
      </c>
      <c r="J8" s="8">
        <f>SUMIFS('Raw Campaign Data'!$N:$N,'Raw Campaign Data'!$D:$D,$A8)</f>
        <v>1969534.3399999999</v>
      </c>
      <c r="K8" s="10">
        <f t="shared" si="3"/>
        <v>3.9390687587813757</v>
      </c>
    </row>
    <row r="9" spans="1:11" x14ac:dyDescent="0.25">
      <c r="A9" s="12" t="s">
        <v>66</v>
      </c>
      <c r="B9" s="15">
        <f>SUMIFS('Raw Campaign Data'!$J:$J,'Raw Campaign Data'!$D:$D,$A9)</f>
        <v>500000.00999999995</v>
      </c>
      <c r="C9" s="13">
        <f>SUMIFS('Raw Campaign Data'!$F:$F,'Raw Campaign Data'!$D:$D,$A9)</f>
        <v>200682</v>
      </c>
      <c r="D9" s="13">
        <f>SUMIFS('Raw Campaign Data'!$G:$G,'Raw Campaign Data'!$D:$D,$A9)</f>
        <v>125276</v>
      </c>
      <c r="E9" s="13">
        <f>SUMIFS('Raw Campaign Data'!$H:$H,'Raw Campaign Data'!$D:$D,$A9)</f>
        <v>5623</v>
      </c>
      <c r="F9" s="14">
        <f t="shared" si="0"/>
        <v>2.801945366300914E-2</v>
      </c>
      <c r="G9" s="16">
        <f t="shared" si="1"/>
        <v>88.92050684687888</v>
      </c>
      <c r="H9" s="13">
        <f>SUMIFS('Raw Campaign Data'!$L:$L,'Raw Campaign Data'!$D:$D,$A9)</f>
        <v>701</v>
      </c>
      <c r="I9" s="16">
        <f t="shared" si="2"/>
        <v>713.26677603423673</v>
      </c>
      <c r="J9" s="15">
        <f>SUMIFS('Raw Campaign Data'!$N:$N,'Raw Campaign Data'!$D:$D,$A9)</f>
        <v>1853582.2300000002</v>
      </c>
      <c r="K9" s="17">
        <f t="shared" si="3"/>
        <v>3.7071643858567129</v>
      </c>
    </row>
    <row r="10" spans="1:11" x14ac:dyDescent="0.25">
      <c r="A10" s="19" t="s">
        <v>73</v>
      </c>
      <c r="B10" s="20">
        <f>SUM(B5:B9)</f>
        <v>4999999.9800000004</v>
      </c>
      <c r="C10" s="21">
        <f>SUM(C5:C9)</f>
        <v>2418372</v>
      </c>
      <c r="D10" s="21">
        <f>SUM(D5:D9)</f>
        <v>1179214</v>
      </c>
      <c r="E10" s="21">
        <f>SUM(E5:E9)</f>
        <v>93448</v>
      </c>
      <c r="F10" s="22">
        <f t="shared" si="0"/>
        <v>3.8640870800687406E-2</v>
      </c>
      <c r="G10" s="23">
        <f t="shared" si="1"/>
        <v>53.505692791713045</v>
      </c>
      <c r="H10" s="21">
        <f>SUM(H5:H9)</f>
        <v>7402</v>
      </c>
      <c r="I10" s="23">
        <f t="shared" si="2"/>
        <v>675.49310726830595</v>
      </c>
      <c r="J10" s="20">
        <f>SUM(J5:J9)</f>
        <v>19347881.970000003</v>
      </c>
      <c r="K10" s="24">
        <f t="shared" si="3"/>
        <v>3.8695764094783058</v>
      </c>
    </row>
    <row r="13" spans="1:11" ht="15.75" x14ac:dyDescent="0.25">
      <c r="A13" s="25" t="s">
        <v>74</v>
      </c>
    </row>
    <row r="14" spans="1:11" x14ac:dyDescent="0.25">
      <c r="A14" s="26" t="s">
        <v>75</v>
      </c>
      <c r="B14" s="26" t="s">
        <v>76</v>
      </c>
      <c r="C14" s="26" t="s">
        <v>77</v>
      </c>
      <c r="D14" s="26" t="s">
        <v>78</v>
      </c>
    </row>
    <row r="15" spans="1:11" x14ac:dyDescent="0.25">
      <c r="A15" s="12" t="s">
        <v>5</v>
      </c>
      <c r="B15" s="12" t="s">
        <v>79</v>
      </c>
      <c r="C15" s="13">
        <f>C10</f>
        <v>2418372</v>
      </c>
      <c r="D15" s="12" t="str">
        <f>IF(C15&gt;=2000000,"Beat Target","Below Target")</f>
        <v>Beat Target</v>
      </c>
    </row>
    <row r="16" spans="1:11" x14ac:dyDescent="0.25">
      <c r="A16" s="12" t="s">
        <v>6</v>
      </c>
      <c r="B16" s="12" t="s">
        <v>80</v>
      </c>
      <c r="C16" s="13">
        <f>D10</f>
        <v>1179214</v>
      </c>
      <c r="D16" s="12" t="str">
        <f>IF(C16&gt;=800000,"Beat Target","Below Target")</f>
        <v>Beat Target</v>
      </c>
    </row>
    <row r="17" spans="1:4" x14ac:dyDescent="0.25">
      <c r="A17" s="12" t="s">
        <v>81</v>
      </c>
      <c r="B17" s="12" t="s">
        <v>82</v>
      </c>
      <c r="C17" s="14">
        <f>F10</f>
        <v>3.8640870800687406E-2</v>
      </c>
      <c r="D17" s="12" t="str">
        <f>IF(C17&gt;=0.025,"Beat Target","Below Target")</f>
        <v>Beat Target</v>
      </c>
    </row>
    <row r="18" spans="1:4" x14ac:dyDescent="0.25">
      <c r="A18" s="12" t="s">
        <v>83</v>
      </c>
      <c r="B18" s="12" t="s">
        <v>84</v>
      </c>
      <c r="C18" s="16">
        <f>G10</f>
        <v>53.505692791713045</v>
      </c>
      <c r="D18" s="12" t="str">
        <f>IF(C18&lt;=45,"Beat Target","Above Target")</f>
        <v>Above Target</v>
      </c>
    </row>
    <row r="19" spans="1:4" x14ac:dyDescent="0.25">
      <c r="A19" s="12" t="s">
        <v>85</v>
      </c>
      <c r="B19" s="12" t="s">
        <v>86</v>
      </c>
      <c r="C19" s="16">
        <f>I10</f>
        <v>675.49310726830595</v>
      </c>
      <c r="D19" s="12" t="str">
        <f>IF(C19&lt;=800,"Beat Target","Above Target")</f>
        <v>Beat Target</v>
      </c>
    </row>
    <row r="20" spans="1:4" x14ac:dyDescent="0.25">
      <c r="A20" s="12" t="s">
        <v>14</v>
      </c>
      <c r="B20" s="12" t="s">
        <v>87</v>
      </c>
      <c r="C20" s="17">
        <f>K10</f>
        <v>3.8695764094783058</v>
      </c>
      <c r="D20" s="12" t="str">
        <f>IF(C20&gt;=3.5,"Beat Target","Below Target")</f>
        <v>Beat Target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Campaign Data</vt:lpstr>
      <vt:lpstr>Summary &amp; KPI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Obokparo Esibe</cp:lastModifiedBy>
  <cp:revision>0</cp:revision>
  <dcterms:created xsi:type="dcterms:W3CDTF">2026-09-04T21:38:46Z</dcterms:created>
  <dcterms:modified xsi:type="dcterms:W3CDTF">2026-09-05T11:04:07Z</dcterms:modified>
  <dc:language>en-US</dc:language>
</cp:coreProperties>
</file>